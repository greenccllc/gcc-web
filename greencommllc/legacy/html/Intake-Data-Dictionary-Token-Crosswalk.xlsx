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Crosswalk" sheetId="2" state="visible" r:id="rId2"/>
    <sheet xmlns:r="http://schemas.openxmlformats.org/officeDocument/2006/relationships" name="By Output Doc" sheetId="3" state="visible" r:id="rId3"/>
    <sheet xmlns:r="http://schemas.openxmlformats.org/officeDocument/2006/relationships" name="By Source" sheetId="4" state="visible" r:id="rId4"/>
    <sheet xmlns:r="http://schemas.openxmlformats.org/officeDocument/2006/relationships" name="Controlled Vocab" sheetId="5" state="visible" r:id="rId5"/>
    <sheet xmlns:r="http://schemas.openxmlformats.org/officeDocument/2006/relationships" name="Computed Fields" sheetId="6" state="visible" r:id="rId6"/>
    <sheet xmlns:r="http://schemas.openxmlformats.org/officeDocument/2006/relationships" name="Boilerplate Blocks" sheetId="7" state="visible" r:id="rId7"/>
  </sheets>
  <definedNames>
    <definedName name="_xlnm._FilterDatabase" localSheetId="1" hidden="1">'Master Crosswalk'!$A$1:$M$184</definedName>
    <definedName name="_xlnm._FilterDatabase" localSheetId="4" hidden="1">'Controlled Vocab'!$A$1:$D$80</definedName>
    <definedName name="_xlnm._FilterDatabase" localSheetId="5" hidden="1">'Computed Fields'!$A$1:$D$34</definedName>
    <definedName name="_xlnm._FilterDatabase" localSheetId="6" hidden="1">'Boilerplate Blocks'!$A$1:$E$58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5E20"/>
      <sz val="16"/>
    </font>
    <font>
      <b val="1"/>
      <color rgb="001B5E20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b val="1"/>
      <sz val="11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D4AF37"/>
      </patternFill>
    </fill>
    <fill>
      <patternFill patternType="solid">
        <fgColor rgb="00FFF4D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GCC Proposal Generator — Intake Data Dictionary &amp; Token Crosswalk</t>
        </is>
      </c>
    </row>
    <row r="3" ht="48" customHeight="1">
      <c r="A3" s="2" t="inlineStr">
        <is>
          <t>Purpose</t>
        </is>
      </c>
      <c r="B3" s="3" t="inlineStr">
        <is>
          <t>Exhaustive list of every specific value that appears in any GCC output document — proposal PDFs (GC / Owner / Residential), bundle proposal HTML, and Excel pricing sheet. Each row maps one token back to its intake source so the intake form covers every value a proposal needs.</t>
        </is>
      </c>
    </row>
    <row r="4" ht="48" customHeight="1">
      <c r="A4" s="2" t="inlineStr">
        <is>
          <t>Scope</t>
        </is>
      </c>
      <c r="B4" s="3" t="inlineStr">
        <is>
          <t>All templates (3), scope library (11), pricing, terms, schedule templates, company components (7), bundle-builder, and the 3 filled samples. Every {{mustache_token}} is included plus every fact discovered in the filled samples that has no token yet.</t>
        </is>
      </c>
    </row>
    <row r="5" ht="48" customHeight="1">
      <c r="A5" s="2" t="inlineStr">
        <is>
          <t>Source labels</t>
        </is>
      </c>
      <c r="B5" s="3" t="inlineStr">
        <is>
          <t>JEM = Jobs Extract Master (your master spreadsheet). MINI-CALC = the web intake form (mini calculator). BUNDLE = Bundle Builder line items. WIX = Wix CMS collection lookup. COMPUTED = derived from other fields. BOILERPLATE = static text pulled verbatim from components/.</t>
        </is>
      </c>
    </row>
    <row r="6" ht="48" customHeight="1">
      <c r="A6" s="2" t="inlineStr">
        <is>
          <t>Required For</t>
        </is>
      </c>
      <c r="B6" s="3" t="inlineStr">
        <is>
          <t>Which of the three templates actually renders this token. G=GC, O=Owner, R=Residential, B=Bundle view, X=Excel export.</t>
        </is>
      </c>
    </row>
    <row r="7" ht="48" customHeight="1">
      <c r="A7" s="2" t="inlineStr">
        <is>
          <t>Controlled Vocab sheet</t>
        </is>
      </c>
      <c r="B7" s="3" t="inlineStr">
        <is>
          <t>Defines the accepted values for every enum field (project_type, client_industry, vertical, services_included, schedule_template, etc.) — these must appear as dropdowns on the intake form.</t>
        </is>
      </c>
    </row>
    <row r="8" ht="48" customHeight="1">
      <c r="A8" s="2" t="inlineStr">
        <is>
          <t>Computed Fields sheet</t>
        </is>
      </c>
      <c r="B8" s="3" t="inlineStr">
        <is>
          <t>Every derived value with its formula (validity_date = proposal_date + 60 days, net_bid_amount = base - loyalty - d1, deposit_30 = total × 0.30, etc.).</t>
        </is>
      </c>
    </row>
    <row r="9" ht="48" customHeight="1">
      <c r="A9" s="2" t="inlineStr">
        <is>
          <t>Boilerplate Blocks sheet</t>
        </is>
      </c>
      <c r="B9" s="3" t="inlineStr">
        <is>
          <t>Static chunks of text that are pulled whole into the doc, not assembled from tokens (company overview, differentiator bullets, lifetime warranty hero, insurance tables, T&amp;C clauses). No intake entry needed — but listed here so you can see everything that lands in the doc.</t>
        </is>
      </c>
    </row>
    <row r="10" ht="48" customHeight="1">
      <c r="A10" s="2" t="inlineStr">
        <is>
          <t>How to use it</t>
        </is>
      </c>
      <c r="B10" s="3" t="inlineStr">
        <is>
          <t>When you build the mini-calc form, every row flagged MINI-CALC must have a field. Every row flagged JEM must be pullable from your Jobs Extract Master at proposal time. Controlled Vocab rows must be dropdowns, not free text.</t>
        </is>
      </c>
    </row>
    <row r="11" ht="48" customHeight="1">
      <c r="A11" s="2" t="inlineStr">
        <is>
          <t>Last generated</t>
        </is>
      </c>
      <c r="B11" s="3" t="inlineStr">
        <is>
          <t>2026-04-21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38" customWidth="1" min="3" max="3"/>
    <col width="18" customWidth="1" min="4" max="4"/>
    <col width="42" customWidth="1" min="5" max="5"/>
    <col width="18" customWidth="1" min="6" max="6"/>
    <col width="22" customWidth="1" min="7" max="7"/>
    <col width="28" customWidth="1" min="8" max="8"/>
    <col width="14" customWidth="1" min="9" max="9"/>
    <col width="36" customWidth="1" min="10" max="10"/>
    <col width="40" customWidth="1" min="11" max="11"/>
    <col width="30" customWidth="1" min="12" max="12"/>
    <col width="16" customWidth="1" min="13" max="13"/>
  </cols>
  <sheetData>
    <row r="1">
      <c r="A1" s="4" t="inlineStr">
        <is>
          <t>Category</t>
        </is>
      </c>
      <c r="B1" s="4" t="inlineStr">
        <is>
          <t>Token / Field</t>
        </is>
      </c>
      <c r="C1" s="4" t="inlineStr">
        <is>
          <t>Display Name</t>
        </is>
      </c>
      <c r="D1" s="4" t="inlineStr">
        <is>
          <t>Data Type</t>
        </is>
      </c>
      <c r="E1" s="4" t="inlineStr">
        <is>
          <t>Example Value</t>
        </is>
      </c>
      <c r="F1" s="4" t="inlineStr">
        <is>
          <t>Required For (G/O/R/B/X)</t>
        </is>
      </c>
      <c r="G1" s="4" t="inlineStr">
        <is>
          <t>Appears In Doc(s)</t>
        </is>
      </c>
      <c r="H1" s="4" t="inlineStr">
        <is>
          <t>Section(s)</t>
        </is>
      </c>
      <c r="I1" s="4" t="inlineStr">
        <is>
          <t>Source</t>
        </is>
      </c>
      <c r="J1" s="4" t="inlineStr">
        <is>
          <t>Source Field / Collection</t>
        </is>
      </c>
      <c r="K1" s="4" t="inlineStr">
        <is>
          <t>Derivation / Formula</t>
        </is>
      </c>
      <c r="L1" s="4" t="inlineStr">
        <is>
          <t>Validation</t>
        </is>
      </c>
      <c r="M1" s="4" t="inlineStr">
        <is>
          <t>Controlled Vocab?</t>
        </is>
      </c>
    </row>
    <row r="2">
      <c r="A2" s="5" t="inlineStr">
        <is>
          <t>A. Project Identity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>
      <c r="A3" s="7" t="inlineStr">
        <is>
          <t>A. Project Identity</t>
        </is>
      </c>
      <c r="B3" s="7" t="inlineStr">
        <is>
          <t>project_name</t>
        </is>
      </c>
      <c r="C3" s="7" t="inlineStr">
        <is>
          <t>Project Name</t>
        </is>
      </c>
      <c r="D3" s="7" t="inlineStr">
        <is>
          <t>string</t>
        </is>
      </c>
      <c r="E3" s="7" t="inlineStr">
        <is>
          <t>Parkway North High School — Summer 2027 Low-Voltage Refresh</t>
        </is>
      </c>
      <c r="F3" s="7" t="inlineStr">
        <is>
          <t>G, O, R</t>
        </is>
      </c>
      <c r="G3" s="7" t="inlineStr">
        <is>
          <t>GC, Owner, Residential</t>
        </is>
      </c>
      <c r="H3" s="7" t="inlineStr">
        <is>
          <t>Cover, Overview, Acceptance (all)</t>
        </is>
      </c>
      <c r="I3" s="8" t="inlineStr">
        <is>
          <t>MINI-CALC</t>
        </is>
      </c>
      <c r="J3" s="7" t="inlineStr">
        <is>
          <t>Project Name field</t>
        </is>
      </c>
      <c r="K3" s="7" t="inlineStr">
        <is>
          <t>—</t>
        </is>
      </c>
      <c r="L3" s="7" t="inlineStr">
        <is>
          <t>Required, ≤120 chars</t>
        </is>
      </c>
      <c r="M3" s="7" t="inlineStr">
        <is>
          <t>No</t>
        </is>
      </c>
    </row>
    <row r="4">
      <c r="A4" s="7" t="inlineStr">
        <is>
          <t>A. Project Identity</t>
        </is>
      </c>
      <c r="B4" s="7" t="inlineStr">
        <is>
          <t>project_address</t>
        </is>
      </c>
      <c r="C4" s="7" t="inlineStr">
        <is>
          <t>Project Site Address</t>
        </is>
      </c>
      <c r="D4" s="7" t="inlineStr">
        <is>
          <t>string (mail format)</t>
        </is>
      </c>
      <c r="E4" s="7" t="inlineStr">
        <is>
          <t>1247 Oak Hollow Ln, Wildwood MO 63038</t>
        </is>
      </c>
      <c r="F4" s="7" t="inlineStr">
        <is>
          <t>R; O (optional)</t>
        </is>
      </c>
      <c r="G4" s="7" t="inlineStr">
        <is>
          <t>Residential (Cover)</t>
        </is>
      </c>
      <c r="H4" s="7" t="inlineStr">
        <is>
          <t>Cover Page</t>
        </is>
      </c>
      <c r="I4" s="8" t="inlineStr">
        <is>
          <t>MINI-CALC</t>
        </is>
      </c>
      <c r="J4" s="7" t="inlineStr">
        <is>
          <t>Site Address field</t>
        </is>
      </c>
      <c r="K4" s="7" t="inlineStr">
        <is>
          <t>—</t>
        </is>
      </c>
      <c r="L4" s="7" t="inlineStr">
        <is>
          <t>US postal; ZIP required</t>
        </is>
      </c>
      <c r="M4" s="7" t="inlineStr">
        <is>
          <t>No</t>
        </is>
      </c>
    </row>
    <row r="5">
      <c r="A5" s="7" t="inlineStr">
        <is>
          <t>A. Project Identity</t>
        </is>
      </c>
      <c r="B5" s="7" t="inlineStr">
        <is>
          <t>project_type</t>
        </is>
      </c>
      <c r="C5" s="7" t="inlineStr">
        <is>
          <t>Project Type</t>
        </is>
      </c>
      <c r="D5" s="7" t="inlineStr">
        <is>
          <t>enum</t>
        </is>
      </c>
      <c r="E5" s="7" t="inlineStr">
        <is>
          <t>K-12-summer</t>
        </is>
      </c>
      <c r="F5" s="7" t="inlineStr">
        <is>
          <t>G, O</t>
        </is>
      </c>
      <c r="G5" s="7" t="inlineStr">
        <is>
          <t>GC §08, Owner §05.1</t>
        </is>
      </c>
      <c r="H5" s="7" t="inlineStr">
        <is>
          <t>Schedule</t>
        </is>
      </c>
      <c r="I5" s="8" t="inlineStr">
        <is>
          <t>MINI-CALC</t>
        </is>
      </c>
      <c r="J5" s="7" t="inlineStr">
        <is>
          <t>Project Type dropdown</t>
        </is>
      </c>
      <c r="K5" s="7" t="inlineStr">
        <is>
          <t>Drives schedule_template selection</t>
        </is>
      </c>
      <c r="L5" s="7" t="inlineStr">
        <is>
          <t>Required</t>
        </is>
      </c>
      <c r="M5" s="7" t="inlineStr">
        <is>
          <t>Yes — proj_type</t>
        </is>
      </c>
    </row>
    <row r="6">
      <c r="A6" s="7" t="inlineStr">
        <is>
          <t>A. Project Identity</t>
        </is>
      </c>
      <c r="B6" s="7" t="inlineStr">
        <is>
          <t>client_industry</t>
        </is>
      </c>
      <c r="C6" s="7" t="inlineStr">
        <is>
          <t>Client Industry / Vertical</t>
        </is>
      </c>
      <c r="D6" s="7" t="inlineStr">
        <is>
          <t>enum</t>
        </is>
      </c>
      <c r="E6" s="7" t="inlineStr">
        <is>
          <t>dental</t>
        </is>
      </c>
      <c r="F6" s="7" t="inlineStr">
        <is>
          <t>O</t>
        </is>
      </c>
      <c r="G6" s="7" t="inlineStr">
        <is>
          <t>Owner §01 (analogy)</t>
        </is>
      </c>
      <c r="H6" s="7" t="inlineStr">
        <is>
          <t>Cover Letter (analogy selection)</t>
        </is>
      </c>
      <c r="I6" s="8" t="inlineStr">
        <is>
          <t>MINI-CALC</t>
        </is>
      </c>
      <c r="J6" s="7" t="inlineStr">
        <is>
          <t>Industry dropdown</t>
        </is>
      </c>
      <c r="K6" s="7" t="inlineStr">
        <is>
          <t>Drives approved analogy list</t>
        </is>
      </c>
      <c r="L6" s="7" t="inlineStr">
        <is>
          <t>Required for Owner</t>
        </is>
      </c>
      <c r="M6" s="7" t="inlineStr">
        <is>
          <t>Yes — industry</t>
        </is>
      </c>
    </row>
    <row r="7">
      <c r="A7" s="7" t="inlineStr">
        <is>
          <t>A. Project Identity</t>
        </is>
      </c>
      <c r="B7" s="7" t="inlineStr">
        <is>
          <t>vertical</t>
        </is>
      </c>
      <c r="C7" s="7" t="inlineStr">
        <is>
          <t>Project Vertical (for references)</t>
        </is>
      </c>
      <c r="D7" s="7" t="inlineStr">
        <is>
          <t>enum</t>
        </is>
      </c>
      <c r="E7" s="7" t="inlineStr">
        <is>
          <t>K-12</t>
        </is>
      </c>
      <c r="F7" s="7" t="inlineStr">
        <is>
          <t>G, O</t>
        </is>
      </c>
      <c r="G7" s="7" t="inlineStr">
        <is>
          <t>GC §05, Owner §03</t>
        </is>
      </c>
      <c r="H7" s="7" t="inlineStr">
        <is>
          <t>Prior work references</t>
        </is>
      </c>
      <c r="I7" s="8" t="inlineStr">
        <is>
          <t>MINI-CALC</t>
        </is>
      </c>
      <c r="J7" s="7" t="inlineStr">
        <is>
          <t>Vertical dropdown</t>
        </is>
      </c>
      <c r="K7" s="7" t="inlineStr">
        <is>
          <t>Drives Wix projects filter</t>
        </is>
      </c>
      <c r="L7" s="7" t="inlineStr">
        <is>
          <t>Required</t>
        </is>
      </c>
      <c r="M7" s="7" t="inlineStr">
        <is>
          <t>Yes — vertical</t>
        </is>
      </c>
    </row>
    <row r="8">
      <c r="A8" s="7" t="inlineStr">
        <is>
          <t>A. Project Identity</t>
        </is>
      </c>
      <c r="B8" s="7" t="inlineStr">
        <is>
          <t>project_specific_hook</t>
        </is>
      </c>
      <c r="C8" s="7" t="inlineStr">
        <is>
          <t>Project-Specific Hook Sentence</t>
        </is>
      </c>
      <c r="D8" s="7" t="inlineStr">
        <is>
          <t>string (1 sentence)</t>
        </is>
      </c>
      <c r="E8" s="7" t="inlineStr">
        <is>
          <t>The hard constraint is classrooms must come back online before in-service</t>
        </is>
      </c>
      <c r="F8" s="7" t="inlineStr">
        <is>
          <t>G, O</t>
        </is>
      </c>
      <c r="G8" s="7" t="inlineStr">
        <is>
          <t>GC §01, Owner §01</t>
        </is>
      </c>
      <c r="H8" s="7" t="inlineStr">
        <is>
          <t>Cover Letter para 1</t>
        </is>
      </c>
      <c r="I8" s="8" t="inlineStr">
        <is>
          <t>MINI-CALC</t>
        </is>
      </c>
      <c r="J8" s="7" t="inlineStr">
        <is>
          <t>Hook field (free text)</t>
        </is>
      </c>
      <c r="K8" s="7" t="inlineStr">
        <is>
          <t>Proves we read the docs</t>
        </is>
      </c>
      <c r="L8" s="7" t="inlineStr">
        <is>
          <t>40–200 chars; forbid generic phrases</t>
        </is>
      </c>
      <c r="M8" s="7" t="inlineStr">
        <is>
          <t>No</t>
        </is>
      </c>
    </row>
    <row r="9">
      <c r="A9" s="7" t="inlineStr">
        <is>
          <t>A. Project Identity</t>
        </is>
      </c>
      <c r="B9" s="7" t="inlineStr">
        <is>
          <t>homeowner_goal</t>
        </is>
      </c>
      <c r="C9" s="7" t="inlineStr">
        <is>
          <t>Homeowner Stated Goal</t>
        </is>
      </c>
      <c r="D9" s="7" t="inlineStr">
        <is>
          <t>string (1 sentence)</t>
        </is>
      </c>
      <c r="E9" s="7" t="inlineStr">
        <is>
          <t>WiFi drops in primary bedroom and basement gym</t>
        </is>
      </c>
      <c r="F9" s="7" t="inlineStr">
        <is>
          <t>R</t>
        </is>
      </c>
      <c r="G9" s="7" t="inlineStr">
        <is>
          <t>Residential §01</t>
        </is>
      </c>
      <c r="H9" s="7" t="inlineStr">
        <is>
          <t>Cover Letter para 1</t>
        </is>
      </c>
      <c r="I9" s="8" t="inlineStr">
        <is>
          <t>MINI-CALC</t>
        </is>
      </c>
      <c r="J9" s="7" t="inlineStr">
        <is>
          <t>Walkthrough note field</t>
        </is>
      </c>
      <c r="K9" s="7" t="inlineStr">
        <is>
          <t>Captures what they told Kaitlyn</t>
        </is>
      </c>
      <c r="L9" s="7" t="inlineStr">
        <is>
          <t>40–200 chars</t>
        </is>
      </c>
      <c r="M9" s="7" t="inlineStr">
        <is>
          <t>No</t>
        </is>
      </c>
    </row>
    <row r="10">
      <c r="A10" s="7" t="inlineStr">
        <is>
          <t>A. Project Identity</t>
        </is>
      </c>
      <c r="B10" s="7" t="inlineStr">
        <is>
          <t>project_scope_oneliner</t>
        </is>
      </c>
      <c r="C10" s="7" t="inlineStr">
        <is>
          <t>One-Sentence Install Summary</t>
        </is>
      </c>
      <c r="D10" s="7" t="inlineStr">
        <is>
          <t>string</t>
        </is>
      </c>
      <c r="E10" s="7" t="inlineStr">
        <is>
          <t>Complete rebuild of data cabling plus 4 APs, 6 cameras, new rack + switch</t>
        </is>
      </c>
      <c r="F10" s="7" t="inlineStr">
        <is>
          <t>O, R</t>
        </is>
      </c>
      <c r="G10" s="7" t="inlineStr">
        <is>
          <t>Owner §02, Res §02</t>
        </is>
      </c>
      <c r="H10" s="7" t="inlineStr">
        <is>
          <t>Executive Summary</t>
        </is>
      </c>
      <c r="I10" s="8" t="inlineStr">
        <is>
          <t>MINI-CALC</t>
        </is>
      </c>
      <c r="J10" s="7" t="inlineStr">
        <is>
          <t>Scope one-liner</t>
        </is>
      </c>
      <c r="K10" s="7" t="inlineStr">
        <is>
          <t>—</t>
        </is>
      </c>
      <c r="L10" s="7" t="inlineStr">
        <is>
          <t>≤220 chars</t>
        </is>
      </c>
      <c r="M10" s="7" t="inlineStr">
        <is>
          <t>No</t>
        </is>
      </c>
    </row>
    <row r="11">
      <c r="A11" s="7" t="inlineStr">
        <is>
          <t>A. Project Identity</t>
        </is>
      </c>
      <c r="B11" s="7" t="inlineStr">
        <is>
          <t>rfp_number</t>
        </is>
      </c>
      <c r="C11" s="7" t="inlineStr">
        <is>
          <t>GC RFP / Bid Package #</t>
        </is>
      </c>
      <c r="D11" s="7" t="inlineStr">
        <is>
          <t>string</t>
        </is>
      </c>
      <c r="E11" s="7" t="inlineStr">
        <is>
          <t>MC-2027-014</t>
        </is>
      </c>
      <c r="F11" s="7" t="inlineStr">
        <is>
          <t>G</t>
        </is>
      </c>
      <c r="G11" s="7" t="inlineStr">
        <is>
          <t>GC §01</t>
        </is>
      </c>
      <c r="H11" s="7" t="inlineStr">
        <is>
          <t>Cover Letter para 1</t>
        </is>
      </c>
      <c r="I11" s="8" t="inlineStr">
        <is>
          <t>MINI-CALC</t>
        </is>
      </c>
      <c r="J11" s="7" t="inlineStr">
        <is>
          <t>RFP Number field</t>
        </is>
      </c>
      <c r="K11" s="7" t="inlineStr">
        <is>
          <t>Quoted verbatim in cover</t>
        </is>
      </c>
      <c r="L11" s="7" t="inlineStr">
        <is>
          <t>Optional; if blank skip in letter</t>
        </is>
      </c>
      <c r="M11" s="7" t="inlineStr">
        <is>
          <t>No</t>
        </is>
      </c>
    </row>
    <row r="12">
      <c r="A12" s="7" t="inlineStr">
        <is>
          <t>A. Project Identity</t>
        </is>
      </c>
      <c r="B12" s="7" t="inlineStr">
        <is>
          <t>rfp_issue_date</t>
        </is>
      </c>
      <c r="C12" s="7" t="inlineStr">
        <is>
          <t>RFP Issue Date</t>
        </is>
      </c>
      <c r="D12" s="7" t="inlineStr">
        <is>
          <t>date YYYY-MM-DD</t>
        </is>
      </c>
      <c r="E12" s="7" t="inlineStr">
        <is>
          <t>2026-04-02</t>
        </is>
      </c>
      <c r="F12" s="7" t="inlineStr">
        <is>
          <t>G</t>
        </is>
      </c>
      <c r="G12" s="7" t="inlineStr">
        <is>
          <t>GC §01</t>
        </is>
      </c>
      <c r="H12" s="7" t="inlineStr">
        <is>
          <t>Cover Letter para 1</t>
        </is>
      </c>
      <c r="I12" s="8" t="inlineStr">
        <is>
          <t>MINI-CALC</t>
        </is>
      </c>
      <c r="J12" s="7" t="inlineStr">
        <is>
          <t>RFP Date field</t>
        </is>
      </c>
      <c r="K12" s="7" t="inlineStr">
        <is>
          <t>—</t>
        </is>
      </c>
      <c r="L12" s="7" t="inlineStr">
        <is>
          <t>Optional; must be ≤ proposal_date</t>
        </is>
      </c>
      <c r="M12" s="7" t="inlineStr">
        <is>
          <t>No</t>
        </is>
      </c>
    </row>
    <row r="13">
      <c r="A13" s="7" t="inlineStr">
        <is>
          <t>A. Project Identity</t>
        </is>
      </c>
      <c r="B13" s="7" t="inlineStr">
        <is>
          <t>bid_package_reference</t>
        </is>
      </c>
      <c r="C13" s="7" t="inlineStr">
        <is>
          <t>Other Bid Document Reference</t>
        </is>
      </c>
      <c r="D13" s="7" t="inlineStr">
        <is>
          <t>string</t>
        </is>
      </c>
      <c r="E13" s="7" t="inlineStr">
        <is>
          <t>Architect's security diagram dated 2026-03-14</t>
        </is>
      </c>
      <c r="F13" s="7" t="inlineStr">
        <is>
          <t>G</t>
        </is>
      </c>
      <c r="G13" s="7" t="inlineStr">
        <is>
          <t>GC §03</t>
        </is>
      </c>
      <c r="H13" s="7" t="inlineStr">
        <is>
          <t>Scope narrative</t>
        </is>
      </c>
      <c r="I13" s="8" t="inlineStr">
        <is>
          <t>MINI-CALC</t>
        </is>
      </c>
      <c r="J13" s="7" t="inlineStr">
        <is>
          <t>Reference doc field</t>
        </is>
      </c>
      <c r="K13" s="7" t="inlineStr">
        <is>
          <t>—</t>
        </is>
      </c>
      <c r="L13" s="7" t="inlineStr">
        <is>
          <t>Optional</t>
        </is>
      </c>
      <c r="M13" s="7" t="inlineStr">
        <is>
          <t>No</t>
        </is>
      </c>
    </row>
    <row r="14">
      <c r="A14" s="5" t="inlineStr">
        <is>
          <t>B. Parties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7" t="inlineStr">
        <is>
          <t>B. Parties</t>
        </is>
      </c>
      <c r="B15" s="7" t="inlineStr">
        <is>
          <t>gc_company_name</t>
        </is>
      </c>
      <c r="C15" s="7" t="inlineStr">
        <is>
          <t>GC / Contractor Company Name</t>
        </is>
      </c>
      <c r="D15" s="7" t="inlineStr">
        <is>
          <t>string</t>
        </is>
      </c>
      <c r="E15" s="7" t="inlineStr">
        <is>
          <t>Meyer Construction</t>
        </is>
      </c>
      <c r="F15" s="7" t="inlineStr">
        <is>
          <t>G</t>
        </is>
      </c>
      <c r="G15" s="7" t="inlineStr">
        <is>
          <t>GC</t>
        </is>
      </c>
      <c r="H15" s="7" t="inlineStr">
        <is>
          <t>Cover, Acceptance</t>
        </is>
      </c>
      <c r="I15" s="9" t="inlineStr">
        <is>
          <t>JEM</t>
        </is>
      </c>
      <c r="J15" s="7" t="inlineStr">
        <is>
          <t>Accounts.Customer_Name where type=GC</t>
        </is>
      </c>
      <c r="K15" s="7" t="inlineStr">
        <is>
          <t>—</t>
        </is>
      </c>
      <c r="L15" s="7" t="inlineStr">
        <is>
          <t>Required</t>
        </is>
      </c>
      <c r="M15" s="7" t="inlineStr">
        <is>
          <t>No</t>
        </is>
      </c>
    </row>
    <row r="16">
      <c r="A16" s="7" t="inlineStr">
        <is>
          <t>B. Parties</t>
        </is>
      </c>
      <c r="B16" s="7" t="inlineStr">
        <is>
          <t>gc_estimator_name</t>
        </is>
      </c>
      <c r="C16" s="7" t="inlineStr">
        <is>
          <t>GC Estimator Name</t>
        </is>
      </c>
      <c r="D16" s="7" t="inlineStr">
        <is>
          <t>string</t>
        </is>
      </c>
      <c r="E16" s="7" t="inlineStr">
        <is>
          <t>Mike Reynolds</t>
        </is>
      </c>
      <c r="F16" s="7" t="inlineStr">
        <is>
          <t>G</t>
        </is>
      </c>
      <c r="G16" s="7" t="inlineStr">
        <is>
          <t>GC</t>
        </is>
      </c>
      <c r="H16" s="7" t="inlineStr">
        <is>
          <t>Cover, Cover Letter salutation</t>
        </is>
      </c>
      <c r="I16" s="9" t="inlineStr">
        <is>
          <t>JEM</t>
        </is>
      </c>
      <c r="J16" s="7" t="inlineStr">
        <is>
          <t>Contacts.Name linked to gc_company</t>
        </is>
      </c>
      <c r="K16" s="7" t="inlineStr">
        <is>
          <t>—</t>
        </is>
      </c>
      <c r="L16" s="7" t="inlineStr">
        <is>
          <t>Required</t>
        </is>
      </c>
      <c r="M16" s="7" t="inlineStr">
        <is>
          <t>No</t>
        </is>
      </c>
    </row>
    <row r="17">
      <c r="A17" s="7" t="inlineStr">
        <is>
          <t>B. Parties</t>
        </is>
      </c>
      <c r="B17" s="7" t="inlineStr">
        <is>
          <t>gc_estimator_title</t>
        </is>
      </c>
      <c r="C17" s="7" t="inlineStr">
        <is>
          <t>GC Estimator Title</t>
        </is>
      </c>
      <c r="D17" s="7" t="inlineStr">
        <is>
          <t>string</t>
        </is>
      </c>
      <c r="E17" s="7" t="inlineStr">
        <is>
          <t>Senior Estimator</t>
        </is>
      </c>
      <c r="F17" s="7" t="inlineStr">
        <is>
          <t>G</t>
        </is>
      </c>
      <c r="G17" s="7" t="inlineStr">
        <is>
          <t>GC</t>
        </is>
      </c>
      <c r="H17" s="7" t="inlineStr">
        <is>
          <t>Cover Page</t>
        </is>
      </c>
      <c r="I17" s="9" t="inlineStr">
        <is>
          <t>JEM</t>
        </is>
      </c>
      <c r="J17" s="7" t="inlineStr">
        <is>
          <t>Contacts.Title</t>
        </is>
      </c>
      <c r="K17" s="7" t="inlineStr">
        <is>
          <t>—</t>
        </is>
      </c>
      <c r="L17" s="7" t="inlineStr">
        <is>
          <t>Required</t>
        </is>
      </c>
      <c r="M17" s="7" t="inlineStr">
        <is>
          <t>No</t>
        </is>
      </c>
    </row>
    <row r="18">
      <c r="A18" s="7" t="inlineStr">
        <is>
          <t>B. Parties</t>
        </is>
      </c>
      <c r="B18" s="7" t="inlineStr">
        <is>
          <t>gc_estimator_email</t>
        </is>
      </c>
      <c r="C18" s="7" t="inlineStr">
        <is>
          <t>GC Estimator Email</t>
        </is>
      </c>
      <c r="D18" s="7" t="inlineStr">
        <is>
          <t>email</t>
        </is>
      </c>
      <c r="E18" s="7" t="inlineStr">
        <is>
          <t>mreynolds@meyerconstruction.com</t>
        </is>
      </c>
      <c r="F18" s="7" t="inlineStr">
        <is>
          <t>G</t>
        </is>
      </c>
      <c r="G18" s="7" t="inlineStr">
        <is>
          <t>(internal routing)</t>
        </is>
      </c>
      <c r="H18" s="7" t="inlineStr">
        <is>
          <t>Delivery metadata</t>
        </is>
      </c>
      <c r="I18" s="9" t="inlineStr">
        <is>
          <t>JEM</t>
        </is>
      </c>
      <c r="J18" s="7" t="inlineStr">
        <is>
          <t>Contacts.Email</t>
        </is>
      </c>
      <c r="K18" s="7" t="inlineStr">
        <is>
          <t>—</t>
        </is>
      </c>
      <c r="L18" s="7" t="inlineStr">
        <is>
          <t>Required for delivery</t>
        </is>
      </c>
      <c r="M18" s="7" t="inlineStr">
        <is>
          <t>No</t>
        </is>
      </c>
    </row>
    <row r="19">
      <c r="A19" s="7" t="inlineStr">
        <is>
          <t>B. Parties</t>
        </is>
      </c>
      <c r="B19" s="7" t="inlineStr">
        <is>
          <t>client_company_name</t>
        </is>
      </c>
      <c r="C19" s="7" t="inlineStr">
        <is>
          <t>Owner Business / Entity Name</t>
        </is>
      </c>
      <c r="D19" s="7" t="inlineStr">
        <is>
          <t>string</t>
        </is>
      </c>
      <c r="E19" s="7" t="inlineStr">
        <is>
          <t>Clayton Dental Group</t>
        </is>
      </c>
      <c r="F19" s="7" t="inlineStr">
        <is>
          <t>O</t>
        </is>
      </c>
      <c r="G19" s="7" t="inlineStr">
        <is>
          <t>Owner</t>
        </is>
      </c>
      <c r="H19" s="7" t="inlineStr">
        <is>
          <t>Cover, Acceptance</t>
        </is>
      </c>
      <c r="I19" s="8" t="inlineStr">
        <is>
          <t>MINI-CALC</t>
        </is>
      </c>
      <c r="J19" s="7" t="inlineStr">
        <is>
          <t>Business Name field</t>
        </is>
      </c>
      <c r="K19" s="7" t="inlineStr">
        <is>
          <t>—</t>
        </is>
      </c>
      <c r="L19" s="7" t="inlineStr">
        <is>
          <t>Required</t>
        </is>
      </c>
      <c r="M19" s="7" t="inlineStr">
        <is>
          <t>No</t>
        </is>
      </c>
    </row>
    <row r="20">
      <c r="A20" s="7" t="inlineStr">
        <is>
          <t>B. Parties</t>
        </is>
      </c>
      <c r="B20" s="7" t="inlineStr">
        <is>
          <t>client_contact_name</t>
        </is>
      </c>
      <c r="C20" s="7" t="inlineStr">
        <is>
          <t>Owner Decision-Maker Name</t>
        </is>
      </c>
      <c r="D20" s="7" t="inlineStr">
        <is>
          <t>string (full name + credential if any)</t>
        </is>
      </c>
      <c r="E20" s="7" t="inlineStr">
        <is>
          <t>Dr. Rebecca Ellis</t>
        </is>
      </c>
      <c r="F20" s="7" t="inlineStr">
        <is>
          <t>O</t>
        </is>
      </c>
      <c r="G20" s="7" t="inlineStr">
        <is>
          <t>Owner</t>
        </is>
      </c>
      <c r="H20" s="7" t="inlineStr">
        <is>
          <t>Cover Page, Cover Letter</t>
        </is>
      </c>
      <c r="I20" s="8" t="inlineStr">
        <is>
          <t>MINI-CALC</t>
        </is>
      </c>
      <c r="J20" s="7" t="inlineStr">
        <is>
          <t>Contact Name field</t>
        </is>
      </c>
      <c r="K20" s="7" t="inlineStr">
        <is>
          <t>—</t>
        </is>
      </c>
      <c r="L20" s="7" t="inlineStr">
        <is>
          <t>Required</t>
        </is>
      </c>
      <c r="M20" s="7" t="inlineStr">
        <is>
          <t>No</t>
        </is>
      </c>
    </row>
    <row r="21">
      <c r="A21" s="7" t="inlineStr">
        <is>
          <t>B. Parties</t>
        </is>
      </c>
      <c r="B21" s="7" t="inlineStr">
        <is>
          <t>client_contact_title</t>
        </is>
      </c>
      <c r="C21" s="7" t="inlineStr">
        <is>
          <t>Owner Decision-Maker Title</t>
        </is>
      </c>
      <c r="D21" s="7" t="inlineStr">
        <is>
          <t>string</t>
        </is>
      </c>
      <c r="E21" s="7" t="inlineStr">
        <is>
          <t>Owner</t>
        </is>
      </c>
      <c r="F21" s="7" t="inlineStr">
        <is>
          <t>O</t>
        </is>
      </c>
      <c r="G21" s="7" t="inlineStr">
        <is>
          <t>Owner</t>
        </is>
      </c>
      <c r="H21" s="7" t="inlineStr">
        <is>
          <t>Cover Page</t>
        </is>
      </c>
      <c r="I21" s="8" t="inlineStr">
        <is>
          <t>MINI-CALC</t>
        </is>
      </c>
      <c r="J21" s="7" t="inlineStr">
        <is>
          <t>Contact Title field</t>
        </is>
      </c>
      <c r="K21" s="7" t="inlineStr">
        <is>
          <t>—</t>
        </is>
      </c>
      <c r="L21" s="7" t="inlineStr">
        <is>
          <t>Required</t>
        </is>
      </c>
      <c r="M21" s="7" t="inlineStr">
        <is>
          <t>No</t>
        </is>
      </c>
    </row>
    <row r="22">
      <c r="A22" s="7" t="inlineStr">
        <is>
          <t>B. Parties</t>
        </is>
      </c>
      <c r="B22" s="7" t="inlineStr">
        <is>
          <t>client_contact_email</t>
        </is>
      </c>
      <c r="C22" s="7" t="inlineStr">
        <is>
          <t>Owner Contact Email</t>
        </is>
      </c>
      <c r="D22" s="7" t="inlineStr">
        <is>
          <t>email</t>
        </is>
      </c>
      <c r="E22" s="7" t="inlineStr">
        <is>
          <t>rellis@claytondental.com</t>
        </is>
      </c>
      <c r="F22" s="7" t="inlineStr">
        <is>
          <t>O</t>
        </is>
      </c>
      <c r="G22" s="7" t="inlineStr">
        <is>
          <t>(internal routing)</t>
        </is>
      </c>
      <c r="H22" s="7" t="inlineStr">
        <is>
          <t>Delivery metadata</t>
        </is>
      </c>
      <c r="I22" s="8" t="inlineStr">
        <is>
          <t>MINI-CALC</t>
        </is>
      </c>
      <c r="J22" s="7" t="inlineStr">
        <is>
          <t>Contact Email</t>
        </is>
      </c>
      <c r="K22" s="7" t="inlineStr">
        <is>
          <t>—</t>
        </is>
      </c>
      <c r="L22" s="7" t="inlineStr">
        <is>
          <t>Required for delivery</t>
        </is>
      </c>
      <c r="M22" s="7" t="inlineStr">
        <is>
          <t>No</t>
        </is>
      </c>
    </row>
    <row r="23">
      <c r="A23" s="7" t="inlineStr">
        <is>
          <t>B. Parties</t>
        </is>
      </c>
      <c r="B23" s="7" t="inlineStr">
        <is>
          <t>client_site_address</t>
        </is>
      </c>
      <c r="C23" s="7" t="inlineStr">
        <is>
          <t>Owner Business Address</t>
        </is>
      </c>
      <c r="D23" s="7" t="inlineStr">
        <is>
          <t>string</t>
        </is>
      </c>
      <c r="E23" s="7" t="inlineStr">
        <is>
          <t>8001 Forsyth Blvd, Clayton MO 63105</t>
        </is>
      </c>
      <c r="F23" s="7" t="inlineStr">
        <is>
          <t>O</t>
        </is>
      </c>
      <c r="G23" s="7" t="inlineStr">
        <is>
          <t>Owner</t>
        </is>
      </c>
      <c r="H23" s="7" t="inlineStr">
        <is>
          <t>Cover Page</t>
        </is>
      </c>
      <c r="I23" s="8" t="inlineStr">
        <is>
          <t>MINI-CALC</t>
        </is>
      </c>
      <c r="J23" s="7" t="inlineStr">
        <is>
          <t>Site Address</t>
        </is>
      </c>
      <c r="K23" s="7" t="inlineStr">
        <is>
          <t>—</t>
        </is>
      </c>
      <c r="L23" s="7" t="inlineStr">
        <is>
          <t>Required</t>
        </is>
      </c>
      <c r="M23" s="7" t="inlineStr">
        <is>
          <t>No</t>
        </is>
      </c>
    </row>
    <row r="24">
      <c r="A24" s="7" t="inlineStr">
        <is>
          <t>B. Parties</t>
        </is>
      </c>
      <c r="B24" s="7" t="inlineStr">
        <is>
          <t>homeowner_name</t>
        </is>
      </c>
      <c r="C24" s="7" t="inlineStr">
        <is>
          <t>Homeowner Full Name</t>
        </is>
      </c>
      <c r="D24" s="7" t="inlineStr">
        <is>
          <t>string</t>
        </is>
      </c>
      <c r="E24" s="7" t="inlineStr">
        <is>
          <t>Sarah Chen</t>
        </is>
      </c>
      <c r="F24" s="7" t="inlineStr">
        <is>
          <t>R</t>
        </is>
      </c>
      <c r="G24" s="7" t="inlineStr">
        <is>
          <t>Residential</t>
        </is>
      </c>
      <c r="H24" s="7" t="inlineStr">
        <is>
          <t>Cover Page, Acceptance</t>
        </is>
      </c>
      <c r="I24" s="8" t="inlineStr">
        <is>
          <t>MINI-CALC</t>
        </is>
      </c>
      <c r="J24" s="7" t="inlineStr">
        <is>
          <t>Homeowner Name field</t>
        </is>
      </c>
      <c r="K24" s="7" t="inlineStr">
        <is>
          <t>—</t>
        </is>
      </c>
      <c r="L24" s="7" t="inlineStr">
        <is>
          <t>Required</t>
        </is>
      </c>
      <c r="M24" s="7" t="inlineStr">
        <is>
          <t>No</t>
        </is>
      </c>
    </row>
    <row r="25">
      <c r="A25" s="7" t="inlineStr">
        <is>
          <t>B. Parties</t>
        </is>
      </c>
      <c r="B25" s="7" t="inlineStr">
        <is>
          <t>homeowner_first_name</t>
        </is>
      </c>
      <c r="C25" s="7" t="inlineStr">
        <is>
          <t>Homeowner First Name (salutation)</t>
        </is>
      </c>
      <c r="D25" s="7" t="inlineStr">
        <is>
          <t>string</t>
        </is>
      </c>
      <c r="E25" s="7" t="inlineStr">
        <is>
          <t>Sarah</t>
        </is>
      </c>
      <c r="F25" s="7" t="inlineStr">
        <is>
          <t>R</t>
        </is>
      </c>
      <c r="G25" s="7" t="inlineStr">
        <is>
          <t>Residential</t>
        </is>
      </c>
      <c r="H25" s="7" t="inlineStr">
        <is>
          <t>Cover Letter salutation 'Hi {name}'</t>
        </is>
      </c>
      <c r="I25" s="10" t="inlineStr">
        <is>
          <t>COMPUTED</t>
        </is>
      </c>
      <c r="J25" s="7" t="inlineStr">
        <is>
          <t>split(homeowner_name, ' ')[0]</t>
        </is>
      </c>
      <c r="K25" s="7" t="inlineStr">
        <is>
          <t>First word of homeowner_name</t>
        </is>
      </c>
      <c r="L25" s="7" t="inlineStr">
        <is>
          <t>—</t>
        </is>
      </c>
      <c r="M25" s="7" t="inlineStr">
        <is>
          <t>No</t>
        </is>
      </c>
    </row>
    <row r="26">
      <c r="A26" s="7" t="inlineStr">
        <is>
          <t>B. Parties</t>
        </is>
      </c>
      <c r="B26" s="7" t="inlineStr">
        <is>
          <t>homeowner_phone</t>
        </is>
      </c>
      <c r="C26" s="7" t="inlineStr">
        <is>
          <t>Homeowner Phone</t>
        </is>
      </c>
      <c r="D26" s="7" t="inlineStr">
        <is>
          <t>phone</t>
        </is>
      </c>
      <c r="E26" s="7" t="inlineStr">
        <is>
          <t>(314) 555-0142</t>
        </is>
      </c>
      <c r="F26" s="7" t="inlineStr">
        <is>
          <t>R</t>
        </is>
      </c>
      <c r="G26" s="7" t="inlineStr">
        <is>
          <t>(contact only)</t>
        </is>
      </c>
      <c r="H26" s="7" t="inlineStr">
        <is>
          <t>Follow-up routing</t>
        </is>
      </c>
      <c r="I26" s="8" t="inlineStr">
        <is>
          <t>MINI-CALC</t>
        </is>
      </c>
      <c r="J26" s="7" t="inlineStr">
        <is>
          <t>Phone field</t>
        </is>
      </c>
      <c r="K26" s="7" t="inlineStr">
        <is>
          <t>—</t>
        </is>
      </c>
      <c r="L26" s="7" t="inlineStr">
        <is>
          <t>US 10-digit</t>
        </is>
      </c>
      <c r="M26" s="7" t="inlineStr">
        <is>
          <t>No</t>
        </is>
      </c>
    </row>
    <row r="27">
      <c r="A27" s="7" t="inlineStr">
        <is>
          <t>B. Parties</t>
        </is>
      </c>
      <c r="B27" s="7" t="inlineStr">
        <is>
          <t>homeowner_email</t>
        </is>
      </c>
      <c r="C27" s="7" t="inlineStr">
        <is>
          <t>Homeowner Email</t>
        </is>
      </c>
      <c r="D27" s="7" t="inlineStr">
        <is>
          <t>email</t>
        </is>
      </c>
      <c r="E27" s="7" t="inlineStr">
        <is>
          <t>sarah@example.com</t>
        </is>
      </c>
      <c r="F27" s="7" t="inlineStr">
        <is>
          <t>R</t>
        </is>
      </c>
      <c r="G27" s="7" t="inlineStr">
        <is>
          <t>(contact only)</t>
        </is>
      </c>
      <c r="H27" s="7" t="inlineStr">
        <is>
          <t>Follow-up routing</t>
        </is>
      </c>
      <c r="I27" s="8" t="inlineStr">
        <is>
          <t>MINI-CALC</t>
        </is>
      </c>
      <c r="J27" s="7" t="inlineStr">
        <is>
          <t>Email field</t>
        </is>
      </c>
      <c r="K27" s="7" t="inlineStr">
        <is>
          <t>—</t>
        </is>
      </c>
      <c r="L27" s="7" t="inlineStr">
        <is>
          <t>—</t>
        </is>
      </c>
      <c r="M27" s="7" t="inlineStr">
        <is>
          <t>No</t>
        </is>
      </c>
    </row>
    <row r="28">
      <c r="A28" s="7" t="inlineStr">
        <is>
          <t>B. Parties</t>
        </is>
      </c>
      <c r="B28" s="7" t="inlineStr">
        <is>
          <t>relevant_projects</t>
        </is>
      </c>
      <c r="C28" s="7" t="inlineStr">
        <is>
          <t>Prior Work References (3 for GC, 2–3 Owner)</t>
        </is>
      </c>
      <c r="D28" s="7" t="inlineStr">
        <is>
          <t>array&lt;project&gt;</t>
        </is>
      </c>
      <c r="E28" s="7" t="inlineStr">
        <is>
          <t>[{name, gc, scope, year, vertical}]</t>
        </is>
      </c>
      <c r="F28" s="7" t="inlineStr">
        <is>
          <t>G, O</t>
        </is>
      </c>
      <c r="G28" s="7" t="inlineStr">
        <is>
          <t>GC §05, Owner §03</t>
        </is>
      </c>
      <c r="H28" s="7" t="inlineStr">
        <is>
          <t>Qualifications / Prior Work</t>
        </is>
      </c>
      <c r="I28" s="11" t="inlineStr">
        <is>
          <t>WIX</t>
        </is>
      </c>
      <c r="J28" s="7" t="inlineStr">
        <is>
          <t>projects collection filtered by vertical</t>
        </is>
      </c>
      <c r="K28" s="7" t="inlineStr">
        <is>
          <t>Top-N by vertical match</t>
        </is>
      </c>
      <c r="L28" s="7" t="inlineStr">
        <is>
          <t>Min 2 rows for Owner, 3 for GC</t>
        </is>
      </c>
      <c r="M28" s="7" t="inlineStr">
        <is>
          <t>No</t>
        </is>
      </c>
    </row>
    <row r="29">
      <c r="A29" s="7" t="inlineStr">
        <is>
          <t>B. Parties</t>
        </is>
      </c>
      <c r="B29" s="7" t="inlineStr">
        <is>
          <t>reference_1_name</t>
        </is>
      </c>
      <c r="C29" s="7" t="inlineStr">
        <is>
          <t>Reference Project #1 Name</t>
        </is>
      </c>
      <c r="D29" s="7" t="inlineStr">
        <is>
          <t>string</t>
        </is>
      </c>
      <c r="E29" s="7" t="inlineStr">
        <is>
          <t>Francis Howell Central — 2024 Summer Refresh</t>
        </is>
      </c>
      <c r="F29" s="7" t="inlineStr">
        <is>
          <t>G, O</t>
        </is>
      </c>
      <c r="G29" s="7" t="inlineStr">
        <is>
          <t>GC §05, Owner §03</t>
        </is>
      </c>
      <c r="H29" s="7" t="inlineStr">
        <is>
          <t>Reference block</t>
        </is>
      </c>
      <c r="I29" s="11" t="inlineStr">
        <is>
          <t>WIX</t>
        </is>
      </c>
      <c r="J29" s="7" t="inlineStr">
        <is>
          <t>projects[0].name</t>
        </is>
      </c>
      <c r="K29" s="7" t="inlineStr">
        <is>
          <t>—</t>
        </is>
      </c>
      <c r="L29" s="7" t="inlineStr">
        <is>
          <t>Required</t>
        </is>
      </c>
      <c r="M29" s="7" t="inlineStr">
        <is>
          <t>No</t>
        </is>
      </c>
    </row>
    <row r="30">
      <c r="A30" s="7" t="inlineStr">
        <is>
          <t>B. Parties</t>
        </is>
      </c>
      <c r="B30" s="7" t="inlineStr">
        <is>
          <t>reference_1_gc_name</t>
        </is>
      </c>
      <c r="C30" s="7" t="inlineStr">
        <is>
          <t>Reference Project #1 GC (if any)</t>
        </is>
      </c>
      <c r="D30" s="7" t="inlineStr">
        <is>
          <t>string</t>
        </is>
      </c>
      <c r="E30" s="7" t="inlineStr">
        <is>
          <t>Paric Corporation</t>
        </is>
      </c>
      <c r="F30" s="7" t="inlineStr">
        <is>
          <t>G</t>
        </is>
      </c>
      <c r="G30" s="7" t="inlineStr">
        <is>
          <t>GC §05</t>
        </is>
      </c>
      <c r="H30" s="7" t="inlineStr">
        <is>
          <t>Reference block</t>
        </is>
      </c>
      <c r="I30" s="11" t="inlineStr">
        <is>
          <t>WIX</t>
        </is>
      </c>
      <c r="J30" s="7" t="inlineStr">
        <is>
          <t>projects[0].gc</t>
        </is>
      </c>
      <c r="K30" s="7" t="inlineStr">
        <is>
          <t>—</t>
        </is>
      </c>
      <c r="L30" s="7" t="inlineStr">
        <is>
          <t>Optional</t>
        </is>
      </c>
      <c r="M30" s="7" t="inlineStr">
        <is>
          <t>No</t>
        </is>
      </c>
    </row>
    <row r="31">
      <c r="A31" s="7" t="inlineStr">
        <is>
          <t>B. Parties</t>
        </is>
      </c>
      <c r="B31" s="7" t="inlineStr">
        <is>
          <t>reference_1_scope_summary</t>
        </is>
      </c>
      <c r="C31" s="7" t="inlineStr">
        <is>
          <t>Reference Project #1 Scope</t>
        </is>
      </c>
      <c r="D31" s="7" t="inlineStr">
        <is>
          <t>string</t>
        </is>
      </c>
      <c r="E31" s="7" t="inlineStr">
        <is>
          <t>380 Cat6A drops, 42 cameras, 14-week summer window</t>
        </is>
      </c>
      <c r="F31" s="7" t="inlineStr">
        <is>
          <t>G, O</t>
        </is>
      </c>
      <c r="G31" s="7" t="inlineStr">
        <is>
          <t>GC §05, Owner §03</t>
        </is>
      </c>
      <c r="H31" s="7" t="inlineStr">
        <is>
          <t>Reference block</t>
        </is>
      </c>
      <c r="I31" s="11" t="inlineStr">
        <is>
          <t>WIX</t>
        </is>
      </c>
      <c r="J31" s="7" t="inlineStr">
        <is>
          <t>projects[0].scope_summary</t>
        </is>
      </c>
      <c r="K31" s="7" t="inlineStr">
        <is>
          <t>—</t>
        </is>
      </c>
      <c r="L31" s="7" t="inlineStr">
        <is>
          <t>Required</t>
        </is>
      </c>
      <c r="M31" s="7" t="inlineStr">
        <is>
          <t>No</t>
        </is>
      </c>
    </row>
    <row r="32">
      <c r="A32" s="7" t="inlineStr">
        <is>
          <t>B. Parties</t>
        </is>
      </c>
      <c r="B32" s="7" t="inlineStr">
        <is>
          <t>reference_2_name</t>
        </is>
      </c>
      <c r="C32" s="7" t="inlineStr">
        <is>
          <t>Reference Project #2 Name</t>
        </is>
      </c>
      <c r="D32" s="7" t="inlineStr">
        <is>
          <t>string</t>
        </is>
      </c>
      <c r="E32" s="7" t="inlineStr">
        <is>
          <t>Liberty Middle School — 2025 New Construction</t>
        </is>
      </c>
      <c r="F32" s="7" t="inlineStr">
        <is>
          <t>G, O</t>
        </is>
      </c>
      <c r="G32" s="7" t="inlineStr">
        <is>
          <t>GC §05, Owner §03</t>
        </is>
      </c>
      <c r="H32" s="7" t="inlineStr">
        <is>
          <t>Reference block</t>
        </is>
      </c>
      <c r="I32" s="11" t="inlineStr">
        <is>
          <t>WIX</t>
        </is>
      </c>
      <c r="J32" s="7" t="inlineStr">
        <is>
          <t>projects[1].name</t>
        </is>
      </c>
      <c r="K32" s="7" t="inlineStr">
        <is>
          <t>—</t>
        </is>
      </c>
      <c r="L32" s="7" t="inlineStr">
        <is>
          <t>Required</t>
        </is>
      </c>
      <c r="M32" s="7" t="inlineStr">
        <is>
          <t>No</t>
        </is>
      </c>
    </row>
    <row r="33">
      <c r="A33" s="7" t="inlineStr">
        <is>
          <t>B. Parties</t>
        </is>
      </c>
      <c r="B33" s="7" t="inlineStr">
        <is>
          <t>reference_2_gc_name</t>
        </is>
      </c>
      <c r="C33" s="7" t="inlineStr">
        <is>
          <t>Reference Project #2 GC (if any)</t>
        </is>
      </c>
      <c r="D33" s="7" t="inlineStr">
        <is>
          <t>string</t>
        </is>
      </c>
      <c r="E33" s="7" t="inlineStr">
        <is>
          <t>McCarthy Building Companies</t>
        </is>
      </c>
      <c r="F33" s="7" t="inlineStr">
        <is>
          <t>G</t>
        </is>
      </c>
      <c r="G33" s="7" t="inlineStr">
        <is>
          <t>GC §05</t>
        </is>
      </c>
      <c r="H33" s="7" t="inlineStr">
        <is>
          <t>Reference block</t>
        </is>
      </c>
      <c r="I33" s="11" t="inlineStr">
        <is>
          <t>WIX</t>
        </is>
      </c>
      <c r="J33" s="7" t="inlineStr">
        <is>
          <t>projects[1].gc</t>
        </is>
      </c>
      <c r="K33" s="7" t="inlineStr">
        <is>
          <t>—</t>
        </is>
      </c>
      <c r="L33" s="7" t="inlineStr">
        <is>
          <t>Optional</t>
        </is>
      </c>
      <c r="M33" s="7" t="inlineStr">
        <is>
          <t>No</t>
        </is>
      </c>
    </row>
    <row r="34">
      <c r="A34" s="7" t="inlineStr">
        <is>
          <t>B. Parties</t>
        </is>
      </c>
      <c r="B34" s="7" t="inlineStr">
        <is>
          <t>reference_2_scope_summary</t>
        </is>
      </c>
      <c r="C34" s="7" t="inlineStr">
        <is>
          <t>Reference Project #2 Scope</t>
        </is>
      </c>
      <c r="D34" s="7" t="inlineStr">
        <is>
          <t>string</t>
        </is>
      </c>
      <c r="E34" s="7" t="inlineStr">
        <is>
          <t>520 Cat6A drops, 38 cameras, 22 ACS doors, full MDF/IDF</t>
        </is>
      </c>
      <c r="F34" s="7" t="inlineStr">
        <is>
          <t>G, O</t>
        </is>
      </c>
      <c r="G34" s="7" t="inlineStr">
        <is>
          <t>GC §05, Owner §03</t>
        </is>
      </c>
      <c r="H34" s="7" t="inlineStr">
        <is>
          <t>Reference block</t>
        </is>
      </c>
      <c r="I34" s="11" t="inlineStr">
        <is>
          <t>WIX</t>
        </is>
      </c>
      <c r="J34" s="7" t="inlineStr">
        <is>
          <t>projects[1].scope_summary</t>
        </is>
      </c>
      <c r="K34" s="7" t="inlineStr">
        <is>
          <t>—</t>
        </is>
      </c>
      <c r="L34" s="7" t="inlineStr">
        <is>
          <t>Required</t>
        </is>
      </c>
      <c r="M34" s="7" t="inlineStr">
        <is>
          <t>No</t>
        </is>
      </c>
    </row>
    <row r="35">
      <c r="A35" s="7" t="inlineStr">
        <is>
          <t>B. Parties</t>
        </is>
      </c>
      <c r="B35" s="7" t="inlineStr">
        <is>
          <t>reference_3_name</t>
        </is>
      </c>
      <c r="C35" s="7" t="inlineStr">
        <is>
          <t>Reference Project #3 Name</t>
        </is>
      </c>
      <c r="D35" s="7" t="inlineStr">
        <is>
          <t>string</t>
        </is>
      </c>
      <c r="E35" s="7" t="inlineStr">
        <is>
          <t>St. Charles Co. Ambulance District HQ — 2025</t>
        </is>
      </c>
      <c r="F35" s="7" t="inlineStr">
        <is>
          <t>G</t>
        </is>
      </c>
      <c r="G35" s="7" t="inlineStr">
        <is>
          <t>GC §05</t>
        </is>
      </c>
      <c r="H35" s="7" t="inlineStr">
        <is>
          <t>Reference block</t>
        </is>
      </c>
      <c r="I35" s="11" t="inlineStr">
        <is>
          <t>WIX</t>
        </is>
      </c>
      <c r="J35" s="7" t="inlineStr">
        <is>
          <t>projects[2].name</t>
        </is>
      </c>
      <c r="K35" s="7" t="inlineStr">
        <is>
          <t>—</t>
        </is>
      </c>
      <c r="L35" s="7" t="inlineStr">
        <is>
          <t>Required GC; optional Owner</t>
        </is>
      </c>
      <c r="M35" s="7" t="inlineStr">
        <is>
          <t>No</t>
        </is>
      </c>
    </row>
    <row r="36">
      <c r="A36" s="7" t="inlineStr">
        <is>
          <t>B. Parties</t>
        </is>
      </c>
      <c r="B36" s="7" t="inlineStr">
        <is>
          <t>reference_3_gc_name</t>
        </is>
      </c>
      <c r="C36" s="7" t="inlineStr">
        <is>
          <t>Reference Project #3 GC (if any)</t>
        </is>
      </c>
      <c r="D36" s="7" t="inlineStr">
        <is>
          <t>string</t>
        </is>
      </c>
      <c r="E36" s="7" t="inlineStr">
        <is>
          <t>S.M. Wilson</t>
        </is>
      </c>
      <c r="F36" s="7" t="inlineStr">
        <is>
          <t>G</t>
        </is>
      </c>
      <c r="G36" s="7" t="inlineStr">
        <is>
          <t>GC §05</t>
        </is>
      </c>
      <c r="H36" s="7" t="inlineStr">
        <is>
          <t>Reference block</t>
        </is>
      </c>
      <c r="I36" s="11" t="inlineStr">
        <is>
          <t>WIX</t>
        </is>
      </c>
      <c r="J36" s="7" t="inlineStr">
        <is>
          <t>projects[2].gc</t>
        </is>
      </c>
      <c r="K36" s="7" t="inlineStr">
        <is>
          <t>—</t>
        </is>
      </c>
      <c r="L36" s="7" t="inlineStr">
        <is>
          <t>Optional</t>
        </is>
      </c>
      <c r="M36" s="7" t="inlineStr">
        <is>
          <t>No</t>
        </is>
      </c>
    </row>
    <row r="37">
      <c r="A37" s="7" t="inlineStr">
        <is>
          <t>B. Parties</t>
        </is>
      </c>
      <c r="B37" s="7" t="inlineStr">
        <is>
          <t>reference_3_scope_summary</t>
        </is>
      </c>
      <c r="C37" s="7" t="inlineStr">
        <is>
          <t>Reference Project #3 Scope</t>
        </is>
      </c>
      <c r="D37" s="7" t="inlineStr">
        <is>
          <t>string</t>
        </is>
      </c>
      <c r="E37" s="7" t="inlineStr">
        <is>
          <t>Occupied-space refresh with ICRA near 911 dispatch</t>
        </is>
      </c>
      <c r="F37" s="7" t="inlineStr">
        <is>
          <t>G</t>
        </is>
      </c>
      <c r="G37" s="7" t="inlineStr">
        <is>
          <t>GC §05</t>
        </is>
      </c>
      <c r="H37" s="7" t="inlineStr">
        <is>
          <t>Reference block</t>
        </is>
      </c>
      <c r="I37" s="11" t="inlineStr">
        <is>
          <t>WIX</t>
        </is>
      </c>
      <c r="J37" s="7" t="inlineStr">
        <is>
          <t>projects[2].scope_summary</t>
        </is>
      </c>
      <c r="K37" s="7" t="inlineStr">
        <is>
          <t>—</t>
        </is>
      </c>
      <c r="L37" s="7" t="inlineStr">
        <is>
          <t>Optional</t>
        </is>
      </c>
      <c r="M37" s="7" t="inlineStr">
        <is>
          <t>No</t>
        </is>
      </c>
    </row>
    <row r="38">
      <c r="A38" s="5" t="inlineStr">
        <is>
          <t>C. Dates &amp; IDs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7" t="inlineStr">
        <is>
          <t>C. Dates &amp; IDs</t>
        </is>
      </c>
      <c r="B39" s="7" t="inlineStr">
        <is>
          <t>proposal_date</t>
        </is>
      </c>
      <c r="C39" s="7" t="inlineStr">
        <is>
          <t>Proposal Date</t>
        </is>
      </c>
      <c r="D39" s="7" t="inlineStr">
        <is>
          <t>date YYYY-MM-DD</t>
        </is>
      </c>
      <c r="E39" s="7" t="inlineStr">
        <is>
          <t>2026-04-21</t>
        </is>
      </c>
      <c r="F39" s="7" t="inlineStr">
        <is>
          <t>G, O, R</t>
        </is>
      </c>
      <c r="G39" s="7" t="inlineStr">
        <is>
          <t>All</t>
        </is>
      </c>
      <c r="H39" s="7" t="inlineStr">
        <is>
          <t>Cover Page</t>
        </is>
      </c>
      <c r="I39" s="10" t="inlineStr">
        <is>
          <t>COMPUTED</t>
        </is>
      </c>
      <c r="J39" s="7" t="inlineStr">
        <is>
          <t>TODAY() at generation</t>
        </is>
      </c>
      <c r="K39" s="7" t="inlineStr">
        <is>
          <t>Auto at render time; user can override</t>
        </is>
      </c>
      <c r="L39" s="7" t="inlineStr">
        <is>
          <t>ISO 8601</t>
        </is>
      </c>
      <c r="M39" s="7" t="inlineStr">
        <is>
          <t>No</t>
        </is>
      </c>
    </row>
    <row r="40">
      <c r="A40" s="7" t="inlineStr">
        <is>
          <t>C. Dates &amp; IDs</t>
        </is>
      </c>
      <c r="B40" s="7" t="inlineStr">
        <is>
          <t>validity_date</t>
        </is>
      </c>
      <c r="C40" s="7" t="inlineStr">
        <is>
          <t>Valid Through (expires)</t>
        </is>
      </c>
      <c r="D40" s="7" t="inlineStr">
        <is>
          <t>date YYYY-MM-DD</t>
        </is>
      </c>
      <c r="E40" s="7" t="inlineStr">
        <is>
          <t>2026-06-20</t>
        </is>
      </c>
      <c r="F40" s="7" t="inlineStr">
        <is>
          <t>G, O, R</t>
        </is>
      </c>
      <c r="G40" s="7" t="inlineStr">
        <is>
          <t>All</t>
        </is>
      </c>
      <c r="H40" s="7" t="inlineStr">
        <is>
          <t>Cover Page, Acceptance §11</t>
        </is>
      </c>
      <c r="I40" s="10" t="inlineStr">
        <is>
          <t>COMPUTED</t>
        </is>
      </c>
      <c r="J40" s="7" t="inlineStr">
        <is>
          <t>proposal_date + 60 days</t>
        </is>
      </c>
      <c r="K40" s="7" t="inlineStr">
        <is>
          <t>proposal_date + 60</t>
        </is>
      </c>
      <c r="L40" s="7" t="inlineStr">
        <is>
          <t>—</t>
        </is>
      </c>
      <c r="M40" s="7" t="inlineStr">
        <is>
          <t>No</t>
        </is>
      </c>
    </row>
    <row r="41">
      <c r="A41" s="7" t="inlineStr">
        <is>
          <t>C. Dates &amp; IDs</t>
        </is>
      </c>
      <c r="B41" s="7" t="inlineStr">
        <is>
          <t>gcc_bid_number</t>
        </is>
      </c>
      <c r="C41" s="7" t="inlineStr">
        <is>
          <t>GCC Bid Number</t>
        </is>
      </c>
      <c r="D41" s="7" t="inlineStr">
        <is>
          <t>string</t>
        </is>
      </c>
      <c r="E41" s="7" t="inlineStr">
        <is>
          <t>GCC-2026-0412</t>
        </is>
      </c>
      <c r="F41" s="7" t="inlineStr">
        <is>
          <t>G</t>
        </is>
      </c>
      <c r="G41" s="7" t="inlineStr">
        <is>
          <t>GC</t>
        </is>
      </c>
      <c r="H41" s="7" t="inlineStr">
        <is>
          <t>Cover Page</t>
        </is>
      </c>
      <c r="I41" s="10" t="inlineStr">
        <is>
          <t>COMPUTED</t>
        </is>
      </c>
      <c r="J41" s="7" t="inlineStr">
        <is>
          <t>'GCC-' + YYYY + '-' + 4-digit-sequence</t>
        </is>
      </c>
      <c r="K41" s="7" t="inlineStr">
        <is>
          <t>Pulled from Submissions collection</t>
        </is>
      </c>
      <c r="L41" s="7" t="inlineStr">
        <is>
          <t>Format: GCC-YYYY-NNNN</t>
        </is>
      </c>
      <c r="M41" s="7" t="inlineStr">
        <is>
          <t>No</t>
        </is>
      </c>
    </row>
    <row r="42">
      <c r="A42" s="7" t="inlineStr">
        <is>
          <t>C. Dates &amp; IDs</t>
        </is>
      </c>
      <c r="B42" s="7" t="inlineStr">
        <is>
          <t>mobilization_date</t>
        </is>
      </c>
      <c r="C42" s="7" t="inlineStr">
        <is>
          <t>Mobilization (Start) Date</t>
        </is>
      </c>
      <c r="D42" s="7" t="inlineStr">
        <is>
          <t>date YYYY-MM-DD</t>
        </is>
      </c>
      <c r="E42" s="7" t="inlineStr">
        <is>
          <t>2027-05-31</t>
        </is>
      </c>
      <c r="F42" s="7" t="inlineStr">
        <is>
          <t>G; O optional</t>
        </is>
      </c>
      <c r="G42" s="7" t="inlineStr">
        <is>
          <t>GC §08, Owner §05.1</t>
        </is>
      </c>
      <c r="H42" s="7" t="inlineStr">
        <is>
          <t>Schedule</t>
        </is>
      </c>
      <c r="I42" s="8" t="inlineStr">
        <is>
          <t>MINI-CALC</t>
        </is>
      </c>
      <c r="J42" s="7" t="inlineStr">
        <is>
          <t>Start Date field</t>
        </is>
      </c>
      <c r="K42" s="7" t="inlineStr">
        <is>
          <t>—</t>
        </is>
      </c>
      <c r="L42" s="7" t="inlineStr">
        <is>
          <t>≥ proposal_date</t>
        </is>
      </c>
      <c r="M42" s="7" t="inlineStr">
        <is>
          <t>No</t>
        </is>
      </c>
    </row>
    <row r="43">
      <c r="A43" s="7" t="inlineStr">
        <is>
          <t>C. Dates &amp; IDs</t>
        </is>
      </c>
      <c r="B43" s="7" t="inlineStr">
        <is>
          <t>substantial_completion_date</t>
        </is>
      </c>
      <c r="C43" s="7" t="inlineStr">
        <is>
          <t>Substantial Completion Date</t>
        </is>
      </c>
      <c r="D43" s="7" t="inlineStr">
        <is>
          <t>date YYYY-MM-DD</t>
        </is>
      </c>
      <c r="E43" s="7" t="inlineStr">
        <is>
          <t>2027-07-30</t>
        </is>
      </c>
      <c r="F43" s="7" t="inlineStr">
        <is>
          <t>G; O optional</t>
        </is>
      </c>
      <c r="G43" s="7" t="inlineStr">
        <is>
          <t>GC §08, Owner §05.1</t>
        </is>
      </c>
      <c r="H43" s="7" t="inlineStr">
        <is>
          <t>Schedule</t>
        </is>
      </c>
      <c r="I43" s="10" t="inlineStr">
        <is>
          <t>COMPUTED</t>
        </is>
      </c>
      <c r="J43" s="7" t="inlineStr">
        <is>
          <t>mobilization_date + duration_weeks × 7</t>
        </is>
      </c>
      <c r="K43" s="7" t="inlineStr">
        <is>
          <t>Per schedule_template</t>
        </is>
      </c>
      <c r="L43" s="7" t="inlineStr">
        <is>
          <t>After mobilization_date</t>
        </is>
      </c>
      <c r="M43" s="7" t="inlineStr">
        <is>
          <t>No</t>
        </is>
      </c>
    </row>
    <row r="44">
      <c r="A44" s="7" t="inlineStr">
        <is>
          <t>C. Dates &amp; IDs</t>
        </is>
      </c>
      <c r="B44" s="7" t="inlineStr">
        <is>
          <t>schedule_weekend_buffer_days</t>
        </is>
      </c>
      <c r="C44" s="7" t="inlineStr">
        <is>
          <t>Days Between SC and Hand-Off</t>
        </is>
      </c>
      <c r="D44" s="7" t="inlineStr">
        <is>
          <t>integer</t>
        </is>
      </c>
      <c r="E44" s="7" t="inlineStr">
        <is>
          <t>10</t>
        </is>
      </c>
      <c r="F44" s="7" t="inlineStr">
        <is>
          <t>G</t>
        </is>
      </c>
      <c r="G44" s="7" t="inlineStr">
        <is>
          <t>GC §08 Schedule Notes</t>
        </is>
      </c>
      <c r="H44" s="7" t="inlineStr">
        <is>
          <t>Schedule narrative</t>
        </is>
      </c>
      <c r="I44" s="10" t="inlineStr">
        <is>
          <t>COMPUTED</t>
        </is>
      </c>
      <c r="J44" s="7" t="inlineStr">
        <is>
          <t>in_service_date − substantial_completion_date</t>
        </is>
      </c>
      <c r="K44" s="7" t="inlineStr">
        <is>
          <t>Business days</t>
        </is>
      </c>
      <c r="L44" s="7" t="inlineStr">
        <is>
          <t>—</t>
        </is>
      </c>
      <c r="M44" s="7" t="inlineStr">
        <is>
          <t>No</t>
        </is>
      </c>
    </row>
    <row r="45">
      <c r="A45" s="5" t="inlineStr">
        <is>
          <t>D. GC Pricing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7" t="inlineStr">
        <is>
          <t>D. GC Pricing</t>
        </is>
      </c>
      <c r="B46" s="7" t="inlineStr">
        <is>
          <t>base_bid_amount</t>
        </is>
      </c>
      <c r="C46" s="7" t="inlineStr">
        <is>
          <t>Base Bid (hero number)</t>
        </is>
      </c>
      <c r="D46" s="7" t="inlineStr">
        <is>
          <t>currency USD</t>
        </is>
      </c>
      <c r="E46" s="7" t="inlineStr">
        <is>
          <t>387400</t>
        </is>
      </c>
      <c r="F46" s="7" t="inlineStr">
        <is>
          <t>G</t>
        </is>
      </c>
      <c r="G46" s="7" t="inlineStr">
        <is>
          <t>GC §02, §09, §11</t>
        </is>
      </c>
      <c r="H46" s="7" t="inlineStr">
        <is>
          <t>Bid Overview hero + Acceptance</t>
        </is>
      </c>
      <c r="I46" s="12" t="inlineStr">
        <is>
          <t>BUNDLE</t>
        </is>
      </c>
      <c r="J46" s="7" t="inlineStr">
        <is>
          <t>Bundle Builder grand_total (before loyalty)</t>
        </is>
      </c>
      <c r="K46" s="7" t="inlineStr">
        <is>
          <t>Displayed at 44pt Forest Green</t>
        </is>
      </c>
      <c r="L46" s="7" t="inlineStr">
        <is>
          <t>Rounded per estimating methodology §10</t>
        </is>
      </c>
      <c r="M46" s="7" t="inlineStr">
        <is>
          <t>No</t>
        </is>
      </c>
    </row>
    <row r="47">
      <c r="A47" s="7" t="inlineStr">
        <is>
          <t>D. GC Pricing</t>
        </is>
      </c>
      <c r="B47" s="7" t="inlineStr">
        <is>
          <t>ms_alternate_monthly</t>
        </is>
      </c>
      <c r="C47" s="7" t="inlineStr">
        <is>
          <t>Managed Services Alternate — monthly</t>
        </is>
      </c>
      <c r="D47" s="7" t="inlineStr">
        <is>
          <t>currency USD/mo</t>
        </is>
      </c>
      <c r="E47" s="7" t="inlineStr">
        <is>
          <t>1850</t>
        </is>
      </c>
      <c r="F47" s="7" t="inlineStr">
        <is>
          <t>G, O, R</t>
        </is>
      </c>
      <c r="G47" s="7" t="inlineStr">
        <is>
          <t>GC §09 Alt A1, Owner §07, Res §06</t>
        </is>
      </c>
      <c r="H47" s="7" t="inlineStr">
        <is>
          <t>Investment Summary</t>
        </is>
      </c>
      <c r="I47" s="8" t="inlineStr">
        <is>
          <t>MINI-CALC</t>
        </is>
      </c>
      <c r="J47" s="7" t="inlineStr">
        <is>
          <t>MS monthly field</t>
        </is>
      </c>
      <c r="K47" s="7" t="inlineStr">
        <is>
          <t>Month-to-month, no lock-in per hard-rules</t>
        </is>
      </c>
      <c r="L47" s="7" t="inlineStr">
        <is>
          <t>Required if whole-building</t>
        </is>
      </c>
      <c r="M47" s="7" t="inlineStr">
        <is>
          <t>No</t>
        </is>
      </c>
    </row>
    <row r="48">
      <c r="A48" s="7" t="inlineStr">
        <is>
          <t>D. GC Pricing</t>
        </is>
      </c>
      <c r="B48" s="7" t="inlineStr">
        <is>
          <t>d1_amount</t>
        </is>
      </c>
      <c r="C48" s="7" t="inlineStr">
        <is>
          <t>Weekend / After-Hours DEDUCT (Alt D1)</t>
        </is>
      </c>
      <c r="D48" s="7" t="inlineStr">
        <is>
          <t>currency USD (shown as neg)</t>
        </is>
      </c>
      <c r="E48" s="7" t="inlineStr">
        <is>
          <t>8200</t>
        </is>
      </c>
      <c r="F48" s="7" t="inlineStr">
        <is>
          <t>G</t>
        </is>
      </c>
      <c r="G48" s="7" t="inlineStr">
        <is>
          <t>GC §09 Alt D1</t>
        </is>
      </c>
      <c r="H48" s="7" t="inlineStr">
        <is>
          <t>Investment Summary</t>
        </is>
      </c>
      <c r="I48" s="8" t="inlineStr">
        <is>
          <t>MINI-CALC</t>
        </is>
      </c>
      <c r="J48" s="7" t="inlineStr">
        <is>
          <t>D1 deduct field</t>
        </is>
      </c>
      <c r="K48" s="7" t="inlineStr">
        <is>
          <t>Always a DEDUCT, never ADD (hard-rules §8)</t>
        </is>
      </c>
      <c r="L48" s="7" t="inlineStr">
        <is>
          <t>—</t>
        </is>
      </c>
      <c r="M48" s="7" t="inlineStr">
        <is>
          <t>No</t>
        </is>
      </c>
    </row>
    <row r="49">
      <c r="A49" s="7" t="inlineStr">
        <is>
          <t>D. GC Pricing</t>
        </is>
      </c>
      <c r="B49" s="7" t="inlineStr">
        <is>
          <t>loyalty_discount_applicable</t>
        </is>
      </c>
      <c r="C49" s="7" t="inlineStr">
        <is>
          <t>Loyalty Discount Applies?</t>
        </is>
      </c>
      <c r="D49" s="7" t="inlineStr">
        <is>
          <t>boolean</t>
        </is>
      </c>
      <c r="E49" s="7" t="inlineStr">
        <is>
          <t>TRUE</t>
        </is>
      </c>
      <c r="F49" s="7" t="inlineStr">
        <is>
          <t>G, O</t>
        </is>
      </c>
      <c r="G49" s="7" t="inlineStr">
        <is>
          <t>GC §09, Owner §07</t>
        </is>
      </c>
      <c r="H49" s="7" t="inlineStr">
        <is>
          <t>Investment Summary</t>
        </is>
      </c>
      <c r="I49" s="9" t="inlineStr">
        <is>
          <t>JEM</t>
        </is>
      </c>
      <c r="J49" s="7" t="inlineStr">
        <is>
          <t>Loyalty flag on account record</t>
        </is>
      </c>
      <c r="K49" s="7" t="inlineStr">
        <is>
          <t>Repeat client OR active MS</t>
        </is>
      </c>
      <c r="L49" s="7" t="inlineStr">
        <is>
          <t>—</t>
        </is>
      </c>
      <c r="M49" s="7" t="inlineStr">
        <is>
          <t>Yes — Y/N</t>
        </is>
      </c>
    </row>
    <row r="50">
      <c r="A50" s="7" t="inlineStr">
        <is>
          <t>D. GC Pricing</t>
        </is>
      </c>
      <c r="B50" s="7" t="inlineStr">
        <is>
          <t>loyalty_discount_amount</t>
        </is>
      </c>
      <c r="C50" s="7" t="inlineStr">
        <is>
          <t>Loyalty Discount $ (GC bid)</t>
        </is>
      </c>
      <c r="D50" s="7" t="inlineStr">
        <is>
          <t>currency USD (neg line)</t>
        </is>
      </c>
      <c r="E50" s="7" t="inlineStr">
        <is>
          <t>19370</t>
        </is>
      </c>
      <c r="F50" s="7" t="inlineStr">
        <is>
          <t>G</t>
        </is>
      </c>
      <c r="G50" s="7" t="inlineStr">
        <is>
          <t>GC §09</t>
        </is>
      </c>
      <c r="H50" s="7" t="inlineStr">
        <is>
          <t>Investment Summary</t>
        </is>
      </c>
      <c r="I50" s="10" t="inlineStr">
        <is>
          <t>COMPUTED</t>
        </is>
      </c>
      <c r="J50" s="7" t="inlineStr">
        <is>
          <t>base_bid_amount × loyalty_discount_pct</t>
        </is>
      </c>
      <c r="K50" s="7" t="inlineStr">
        <is>
          <t>See Computed Fields</t>
        </is>
      </c>
      <c r="L50" s="7" t="inlineStr">
        <is>
          <t>—</t>
        </is>
      </c>
      <c r="M50" s="7" t="inlineStr">
        <is>
          <t>No</t>
        </is>
      </c>
    </row>
    <row r="51">
      <c r="A51" s="7" t="inlineStr">
        <is>
          <t>D. GC Pricing</t>
        </is>
      </c>
      <c r="B51" s="7" t="inlineStr">
        <is>
          <t>loyalty_discount</t>
        </is>
      </c>
      <c r="C51" s="7" t="inlineStr">
        <is>
          <t>Loyalty Discount $ (Owner quote)</t>
        </is>
      </c>
      <c r="D51" s="7" t="inlineStr">
        <is>
          <t>currency USD (neg)</t>
        </is>
      </c>
      <c r="E51" s="7" t="inlineStr">
        <is>
          <t>2130</t>
        </is>
      </c>
      <c r="F51" s="7" t="inlineStr">
        <is>
          <t>O</t>
        </is>
      </c>
      <c r="G51" s="7" t="inlineStr">
        <is>
          <t>Owner §07</t>
        </is>
      </c>
      <c r="H51" s="7" t="inlineStr">
        <is>
          <t>Investment Summary</t>
        </is>
      </c>
      <c r="I51" s="10" t="inlineStr">
        <is>
          <t>COMPUTED</t>
        </is>
      </c>
      <c r="J51" s="7" t="inlineStr">
        <is>
          <t>total_price × loyalty_discount_pct</t>
        </is>
      </c>
      <c r="K51" s="7" t="inlineStr">
        <is>
          <t>See Computed Fields</t>
        </is>
      </c>
      <c r="L51" s="7" t="inlineStr">
        <is>
          <t>—</t>
        </is>
      </c>
      <c r="M51" s="7" t="inlineStr">
        <is>
          <t>No</t>
        </is>
      </c>
    </row>
    <row r="52">
      <c r="A52" s="7" t="inlineStr">
        <is>
          <t>D. GC Pricing</t>
        </is>
      </c>
      <c r="B52" s="7" t="inlineStr">
        <is>
          <t>loyalty_discount_pct</t>
        </is>
      </c>
      <c r="C52" s="7" t="inlineStr">
        <is>
          <t>Loyalty Discount %</t>
        </is>
      </c>
      <c r="D52" s="7" t="inlineStr">
        <is>
          <t>percent</t>
        </is>
      </c>
      <c r="E52" s="7" t="inlineStr">
        <is>
          <t>0.10</t>
        </is>
      </c>
      <c r="F52" s="7" t="inlineStr">
        <is>
          <t>G, O</t>
        </is>
      </c>
      <c r="G52" s="7" t="inlineStr">
        <is>
          <t>Internal only</t>
        </is>
      </c>
      <c r="H52" s="7" t="inlineStr">
        <is>
          <t>(not shown)</t>
        </is>
      </c>
      <c r="I52" s="10" t="inlineStr">
        <is>
          <t>COMPUTED</t>
        </is>
      </c>
      <c r="J52" s="7" t="inlineStr">
        <is>
          <t>0.05 + (0.05 if active_MS else 0)</t>
        </is>
      </c>
      <c r="K52" s="7" t="inlineStr">
        <is>
          <t>5% future + 5% active MS stacked</t>
        </is>
      </c>
      <c r="L52" s="7" t="inlineStr">
        <is>
          <t>0.05 or 0.10</t>
        </is>
      </c>
      <c r="M52" s="7" t="inlineStr">
        <is>
          <t>Yes — 5% / 10%</t>
        </is>
      </c>
    </row>
    <row r="53">
      <c r="A53" s="7" t="inlineStr">
        <is>
          <t>D. GC Pricing</t>
        </is>
      </c>
      <c r="B53" s="7" t="inlineStr">
        <is>
          <t>loyalty_discount_label</t>
        </is>
      </c>
      <c r="C53" s="7" t="inlineStr">
        <is>
          <t>Loyalty Discount Line Label</t>
        </is>
      </c>
      <c r="D53" s="7" t="inlineStr">
        <is>
          <t>string</t>
        </is>
      </c>
      <c r="E53" s="7" t="inlineStr">
        <is>
          <t>Loyalty Discount (5% future + 5% active MS)</t>
        </is>
      </c>
      <c r="F53" s="7" t="inlineStr">
        <is>
          <t>G, O</t>
        </is>
      </c>
      <c r="G53" s="7" t="inlineStr">
        <is>
          <t>GC §09, Owner §07</t>
        </is>
      </c>
      <c r="H53" s="7" t="inlineStr">
        <is>
          <t>Investment Summary</t>
        </is>
      </c>
      <c r="I53" s="10" t="inlineStr">
        <is>
          <t>COMPUTED</t>
        </is>
      </c>
      <c r="J53" s="7" t="inlineStr">
        <is>
          <t>Static text based on loyalty_discount_pct</t>
        </is>
      </c>
      <c r="K53" s="7" t="inlineStr">
        <is>
          <t>Hard-rule: single line, never broken out</t>
        </is>
      </c>
      <c r="L53" s="7" t="inlineStr">
        <is>
          <t>—</t>
        </is>
      </c>
      <c r="M53" s="7" t="inlineStr">
        <is>
          <t>No</t>
        </is>
      </c>
    </row>
    <row r="54">
      <c r="A54" s="7" t="inlineStr">
        <is>
          <t>D. GC Pricing</t>
        </is>
      </c>
      <c r="B54" s="7" t="inlineStr">
        <is>
          <t>net_bid_amount</t>
        </is>
      </c>
      <c r="C54" s="7" t="inlineStr">
        <is>
          <t>Net Bid (after Loyalty)</t>
        </is>
      </c>
      <c r="D54" s="7" t="inlineStr">
        <is>
          <t>currency USD</t>
        </is>
      </c>
      <c r="E54" s="7" t="inlineStr">
        <is>
          <t>368030</t>
        </is>
      </c>
      <c r="F54" s="7" t="inlineStr">
        <is>
          <t>G</t>
        </is>
      </c>
      <c r="G54" s="7" t="inlineStr">
        <is>
          <t>GC §09</t>
        </is>
      </c>
      <c r="H54" s="7" t="inlineStr">
        <is>
          <t>Investment Summary total row</t>
        </is>
      </c>
      <c r="I54" s="10" t="inlineStr">
        <is>
          <t>COMPUTED</t>
        </is>
      </c>
      <c r="J54" s="7" t="inlineStr">
        <is>
          <t>base_bid_amount − d1_amount − loyalty_discount_amount</t>
        </is>
      </c>
      <c r="K54" s="7" t="inlineStr">
        <is>
          <t>Must be &gt; 0</t>
        </is>
      </c>
      <c r="L54" s="7" t="inlineStr">
        <is>
          <t>—</t>
        </is>
      </c>
      <c r="M54" s="7" t="inlineStr">
        <is>
          <t>No</t>
        </is>
      </c>
    </row>
    <row r="55">
      <c r="A55" s="7" t="inlineStr">
        <is>
          <t>D. GC Pricing</t>
        </is>
      </c>
      <c r="B55" s="7" t="inlineStr">
        <is>
          <t>retention_pct_commercial</t>
        </is>
      </c>
      <c r="C55" s="7" t="inlineStr">
        <is>
          <t>Retention %</t>
        </is>
      </c>
      <c r="D55" s="7" t="inlineStr">
        <is>
          <t>percent</t>
        </is>
      </c>
      <c r="E55" s="7" t="inlineStr">
        <is>
          <t>0.05</t>
        </is>
      </c>
      <c r="F55" s="7" t="inlineStr">
        <is>
          <t>G, O</t>
        </is>
      </c>
      <c r="G55" s="7" t="inlineStr">
        <is>
          <t>GC §09, Terms §5</t>
        </is>
      </c>
      <c r="H55" s="7" t="inlineStr">
        <is>
          <t>Payment terms</t>
        </is>
      </c>
      <c r="I55" s="13" t="inlineStr">
        <is>
          <t>BOILERPLATE</t>
        </is>
      </c>
      <c r="J55" s="7" t="inlineStr">
        <is>
          <t>rate-card.md + T&amp;C §5</t>
        </is>
      </c>
      <c r="K55" s="7" t="inlineStr">
        <is>
          <t>Default 5%; 10% if GC requires</t>
        </is>
      </c>
      <c r="L55" s="7" t="inlineStr">
        <is>
          <t>0.05 or 0.10</t>
        </is>
      </c>
      <c r="M55" s="7" t="inlineStr">
        <is>
          <t>Yes</t>
        </is>
      </c>
    </row>
    <row r="56">
      <c r="A56" s="7" t="inlineStr">
        <is>
          <t>D. GC Pricing</t>
        </is>
      </c>
      <c r="B56" s="7" t="inlineStr">
        <is>
          <t>payment_net_days</t>
        </is>
      </c>
      <c r="C56" s="7" t="inlineStr">
        <is>
          <t>Net Payment Days</t>
        </is>
      </c>
      <c r="D56" s="7" t="inlineStr">
        <is>
          <t>integer</t>
        </is>
      </c>
      <c r="E56" s="7" t="inlineStr">
        <is>
          <t>30</t>
        </is>
      </c>
      <c r="F56" s="7" t="inlineStr">
        <is>
          <t>G, O</t>
        </is>
      </c>
      <c r="G56" s="7" t="inlineStr">
        <is>
          <t>Terms §5</t>
        </is>
      </c>
      <c r="H56" s="7" t="inlineStr">
        <is>
          <t>Payment terms</t>
        </is>
      </c>
      <c r="I56" s="13" t="inlineStr">
        <is>
          <t>BOILERPLATE</t>
        </is>
      </c>
      <c r="J56" s="7" t="inlineStr">
        <is>
          <t>Net 30 per rate-card</t>
        </is>
      </c>
      <c r="K56" s="7" t="inlineStr">
        <is>
          <t>—</t>
        </is>
      </c>
      <c r="L56" s="7" t="inlineStr">
        <is>
          <t>—</t>
        </is>
      </c>
      <c r="M56" s="7" t="inlineStr">
        <is>
          <t>No</t>
        </is>
      </c>
    </row>
    <row r="57">
      <c r="A57" s="5" t="inlineStr">
        <is>
          <t>E. Owner Pricing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7" t="inlineStr">
        <is>
          <t>E. Owner Pricing</t>
        </is>
      </c>
      <c r="B58" s="7" t="inlineStr">
        <is>
          <t>installation_total</t>
        </is>
      </c>
      <c r="C58" s="7" t="inlineStr">
        <is>
          <t>Installation Total (labor+materials+testing)</t>
        </is>
      </c>
      <c r="D58" s="7" t="inlineStr">
        <is>
          <t>currency USD</t>
        </is>
      </c>
      <c r="E58" s="7" t="inlineStr">
        <is>
          <t>36100</t>
        </is>
      </c>
      <c r="F58" s="7" t="inlineStr">
        <is>
          <t>O</t>
        </is>
      </c>
      <c r="G58" s="7" t="inlineStr">
        <is>
          <t>Owner §07</t>
        </is>
      </c>
      <c r="H58" s="7" t="inlineStr">
        <is>
          <t>Investment Summary table</t>
        </is>
      </c>
      <c r="I58" s="12" t="inlineStr">
        <is>
          <t>BUNDLE</t>
        </is>
      </c>
      <c r="J58" s="7" t="inlineStr">
        <is>
          <t>Sum of bundle rows categorized as 'labor/install'</t>
        </is>
      </c>
      <c r="K58" s="7" t="inlineStr">
        <is>
          <t>—</t>
        </is>
      </c>
      <c r="L58" s="7" t="inlineStr">
        <is>
          <t>≥ 0</t>
        </is>
      </c>
      <c r="M58" s="7" t="inlineStr">
        <is>
          <t>No</t>
        </is>
      </c>
    </row>
    <row r="59">
      <c r="A59" s="7" t="inlineStr">
        <is>
          <t>E. Owner Pricing</t>
        </is>
      </c>
      <c r="B59" s="7" t="inlineStr">
        <is>
          <t>equipment_total</t>
        </is>
      </c>
      <c r="C59" s="7" t="inlineStr">
        <is>
          <t>Equipment Total (hardware)</t>
        </is>
      </c>
      <c r="D59" s="7" t="inlineStr">
        <is>
          <t>currency USD</t>
        </is>
      </c>
      <c r="E59" s="7" t="inlineStr">
        <is>
          <t>6500</t>
        </is>
      </c>
      <c r="F59" s="7" t="inlineStr">
        <is>
          <t>O</t>
        </is>
      </c>
      <c r="G59" s="7" t="inlineStr">
        <is>
          <t>Owner §07</t>
        </is>
      </c>
      <c r="H59" s="7" t="inlineStr">
        <is>
          <t>Investment Summary table</t>
        </is>
      </c>
      <c r="I59" s="12" t="inlineStr">
        <is>
          <t>BUNDLE</t>
        </is>
      </c>
      <c r="J59" s="7" t="inlineStr">
        <is>
          <t>Sum of bundle rows where source=eq (Equipment)</t>
        </is>
      </c>
      <c r="K59" s="7" t="inlineStr">
        <is>
          <t>—</t>
        </is>
      </c>
      <c r="L59" s="7" t="inlineStr">
        <is>
          <t>≥ 0</t>
        </is>
      </c>
      <c r="M59" s="7" t="inlineStr">
        <is>
          <t>No</t>
        </is>
      </c>
    </row>
    <row r="60">
      <c r="A60" s="7" t="inlineStr">
        <is>
          <t>E. Owner Pricing</t>
        </is>
      </c>
      <c r="B60" s="7" t="inlineStr">
        <is>
          <t>total_price</t>
        </is>
      </c>
      <c r="C60" s="7" t="inlineStr">
        <is>
          <t>Total Price (hero number)</t>
        </is>
      </c>
      <c r="D60" s="7" t="inlineStr">
        <is>
          <t>currency USD</t>
        </is>
      </c>
      <c r="E60" s="7" t="inlineStr">
        <is>
          <t>42600</t>
        </is>
      </c>
      <c r="F60" s="7" t="inlineStr">
        <is>
          <t>O, R</t>
        </is>
      </c>
      <c r="G60" s="7" t="inlineStr">
        <is>
          <t>Owner §02, §07, §10; Res §02, §06, §10</t>
        </is>
      </c>
      <c r="H60" s="7" t="inlineStr">
        <is>
          <t>Hero + total row + acceptance</t>
        </is>
      </c>
      <c r="I60" s="12" t="inlineStr">
        <is>
          <t>BUNDLE</t>
        </is>
      </c>
      <c r="J60" s="7" t="inlineStr">
        <is>
          <t>installation_total + equipment_total</t>
        </is>
      </c>
      <c r="K60" s="7" t="inlineStr">
        <is>
          <t>Shown at 22pt Forest Green</t>
        </is>
      </c>
      <c r="L60" s="7" t="inlineStr">
        <is>
          <t>≥ 0</t>
        </is>
      </c>
      <c r="M60" s="7" t="inlineStr">
        <is>
          <t>No</t>
        </is>
      </c>
    </row>
    <row r="61">
      <c r="A61" s="5" t="inlineStr">
        <is>
          <t>F. Res Pricing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>
      <c r="A62" s="7" t="inlineStr">
        <is>
          <t>F. Res Pricing</t>
        </is>
      </c>
      <c r="B62" s="7" t="inlineStr">
        <is>
          <t>deposit_30_amount</t>
        </is>
      </c>
      <c r="C62" s="7" t="inlineStr">
        <is>
          <t>Deposit (30% at signing)</t>
        </is>
      </c>
      <c r="D62" s="7" t="inlineStr">
        <is>
          <t>currency USD</t>
        </is>
      </c>
      <c r="E62" s="7" t="inlineStr">
        <is>
          <t>4455</t>
        </is>
      </c>
      <c r="F62" s="7" t="inlineStr">
        <is>
          <t>R</t>
        </is>
      </c>
      <c r="G62" s="7" t="inlineStr">
        <is>
          <t>Residential §06</t>
        </is>
      </c>
      <c r="H62" s="7" t="inlineStr">
        <is>
          <t>Payment schedule</t>
        </is>
      </c>
      <c r="I62" s="10" t="inlineStr">
        <is>
          <t>COMPUTED</t>
        </is>
      </c>
      <c r="J62" s="7" t="inlineStr">
        <is>
          <t>total_price × 0.30</t>
        </is>
      </c>
      <c r="K62" s="7" t="inlineStr">
        <is>
          <t>—</t>
        </is>
      </c>
      <c r="L62" s="7" t="inlineStr">
        <is>
          <t>—</t>
        </is>
      </c>
      <c r="M62" s="7" t="inlineStr">
        <is>
          <t>No</t>
        </is>
      </c>
    </row>
    <row r="63">
      <c r="A63" s="7" t="inlineStr">
        <is>
          <t>F. Res Pricing</t>
        </is>
      </c>
      <c r="B63" s="7" t="inlineStr">
        <is>
          <t>material_40_amount</t>
        </is>
      </c>
      <c r="C63" s="7" t="inlineStr">
        <is>
          <t>Material delivery (40%)</t>
        </is>
      </c>
      <c r="D63" s="7" t="inlineStr">
        <is>
          <t>currency USD</t>
        </is>
      </c>
      <c r="E63" s="7" t="inlineStr">
        <is>
          <t>5940</t>
        </is>
      </c>
      <c r="F63" s="7" t="inlineStr">
        <is>
          <t>R</t>
        </is>
      </c>
      <c r="G63" s="7" t="inlineStr">
        <is>
          <t>Residential §06</t>
        </is>
      </c>
      <c r="H63" s="7" t="inlineStr">
        <is>
          <t>Payment schedule</t>
        </is>
      </c>
      <c r="I63" s="10" t="inlineStr">
        <is>
          <t>COMPUTED</t>
        </is>
      </c>
      <c r="J63" s="7" t="inlineStr">
        <is>
          <t>total_price × 0.40</t>
        </is>
      </c>
      <c r="K63" s="7" t="inlineStr">
        <is>
          <t>—</t>
        </is>
      </c>
      <c r="L63" s="7" t="inlineStr">
        <is>
          <t>—</t>
        </is>
      </c>
      <c r="M63" s="7" t="inlineStr">
        <is>
          <t>No</t>
        </is>
      </c>
    </row>
    <row r="64">
      <c r="A64" s="7" t="inlineStr">
        <is>
          <t>F. Res Pricing</t>
        </is>
      </c>
      <c r="B64" s="7" t="inlineStr">
        <is>
          <t>final_30_amount</t>
        </is>
      </c>
      <c r="C64" s="7" t="inlineStr">
        <is>
          <t>Completion walkthrough (30%)</t>
        </is>
      </c>
      <c r="D64" s="7" t="inlineStr">
        <is>
          <t>currency USD</t>
        </is>
      </c>
      <c r="E64" s="7" t="inlineStr">
        <is>
          <t>4455</t>
        </is>
      </c>
      <c r="F64" s="7" t="inlineStr">
        <is>
          <t>R</t>
        </is>
      </c>
      <c r="G64" s="7" t="inlineStr">
        <is>
          <t>Residential §06</t>
        </is>
      </c>
      <c r="H64" s="7" t="inlineStr">
        <is>
          <t>Payment schedule</t>
        </is>
      </c>
      <c r="I64" s="10" t="inlineStr">
        <is>
          <t>COMPUTED</t>
        </is>
      </c>
      <c r="J64" s="7" t="inlineStr">
        <is>
          <t>total_price × 0.30</t>
        </is>
      </c>
      <c r="K64" s="7" t="inlineStr">
        <is>
          <t>—</t>
        </is>
      </c>
      <c r="L64" s="7" t="inlineStr">
        <is>
          <t>—</t>
        </is>
      </c>
      <c r="M64" s="7" t="inlineStr">
        <is>
          <t>No</t>
        </is>
      </c>
    </row>
    <row r="65">
      <c r="A65" s="7" t="inlineStr">
        <is>
          <t>F. Res Pricing</t>
        </is>
      </c>
      <c r="B65" s="7" t="inlineStr">
        <is>
          <t>credit_card_surcharge_pct</t>
        </is>
      </c>
      <c r="C65" s="7" t="inlineStr">
        <is>
          <t>Stripe CC Surcharge</t>
        </is>
      </c>
      <c r="D65" s="7" t="inlineStr">
        <is>
          <t>percent</t>
        </is>
      </c>
      <c r="E65" s="7" t="inlineStr">
        <is>
          <t>0.03</t>
        </is>
      </c>
      <c r="F65" s="7" t="inlineStr">
        <is>
          <t>R</t>
        </is>
      </c>
      <c r="G65" s="7" t="inlineStr">
        <is>
          <t>Rate card, T&amp;C §5</t>
        </is>
      </c>
      <c r="H65" s="7" t="inlineStr">
        <is>
          <t>Payment fine print</t>
        </is>
      </c>
      <c r="I65" s="13" t="inlineStr">
        <is>
          <t>BOILERPLATE</t>
        </is>
      </c>
      <c r="J65" s="7" t="inlineStr">
        <is>
          <t>3% per rate-card.md</t>
        </is>
      </c>
      <c r="K65" s="7" t="inlineStr">
        <is>
          <t>—</t>
        </is>
      </c>
      <c r="L65" s="7" t="inlineStr">
        <is>
          <t>Static</t>
        </is>
      </c>
      <c r="M65" s="7" t="inlineStr">
        <is>
          <t>No</t>
        </is>
      </c>
    </row>
    <row r="66">
      <c r="A66" s="5" t="inlineStr">
        <is>
          <t>G. Scope &amp; Line Items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>
      <c r="A67" s="7" t="inlineStr">
        <is>
          <t>G. Scope &amp; Line Items</t>
        </is>
      </c>
      <c r="B67" s="7" t="inlineStr">
        <is>
          <t>services_included</t>
        </is>
      </c>
      <c r="C67" s="7" t="inlineStr">
        <is>
          <t>Services Included (scope blocks to pull)</t>
        </is>
      </c>
      <c r="D67" s="7" t="inlineStr">
        <is>
          <t>multi-select enum</t>
        </is>
      </c>
      <c r="E67" s="7" t="inlineStr">
        <is>
          <t>[commercial-01, commercial-02, commercial-04]</t>
        </is>
      </c>
      <c r="F67" s="7" t="inlineStr">
        <is>
          <t>G, O, R</t>
        </is>
      </c>
      <c r="G67" s="7" t="inlineStr">
        <is>
          <t>All — §03 or §04</t>
        </is>
      </c>
      <c r="H67" s="7" t="inlineStr">
        <is>
          <t>Scope of Work</t>
        </is>
      </c>
      <c r="I67" s="8" t="inlineStr">
        <is>
          <t>MINI-CALC</t>
        </is>
      </c>
      <c r="J67" s="7" t="inlineStr">
        <is>
          <t>Services multi-select</t>
        </is>
      </c>
      <c r="K67" s="7" t="inlineStr">
        <is>
          <t>Drives which scope-library files get pulled</t>
        </is>
      </c>
      <c r="L67" s="7" t="inlineStr">
        <is>
          <t>Min 1</t>
        </is>
      </c>
      <c r="M67" s="7" t="inlineStr">
        <is>
          <t>Yes — services</t>
        </is>
      </c>
    </row>
    <row r="68">
      <c r="A68" s="7" t="inlineStr">
        <is>
          <t>G. Scope &amp; Line Items</t>
        </is>
      </c>
      <c r="B68" s="7" t="inlineStr">
        <is>
          <t>quantified_items</t>
        </is>
      </c>
      <c r="C68" s="7" t="inlineStr">
        <is>
          <t>Quantified Items Table (GC §3.4)</t>
        </is>
      </c>
      <c r="D68" s="7" t="inlineStr">
        <is>
          <t>array&lt;{item, qty, unit}&gt;</t>
        </is>
      </c>
      <c r="E68" s="7" t="inlineStr">
        <is>
          <t>[{'Cat6A drops', 420, 'each'}, ...]</t>
        </is>
      </c>
      <c r="F68" s="7" t="inlineStr">
        <is>
          <t>G</t>
        </is>
      </c>
      <c r="G68" s="7" t="inlineStr">
        <is>
          <t>GC §03.2 / §03.4</t>
        </is>
      </c>
      <c r="H68" s="7" t="inlineStr">
        <is>
          <t>Base Scope Summary table</t>
        </is>
      </c>
      <c r="I68" s="12" t="inlineStr">
        <is>
          <t>BUNDLE</t>
        </is>
      </c>
      <c r="J68" s="7" t="inlineStr">
        <is>
          <t>Derived from Bundle by grouping like SKUs</t>
        </is>
      </c>
      <c r="K68" s="7" t="inlineStr">
        <is>
          <t>—</t>
        </is>
      </c>
      <c r="L68" s="7" t="inlineStr">
        <is>
          <t>Each row complete</t>
        </is>
      </c>
      <c r="M68" s="7" t="inlineStr">
        <is>
          <t>No</t>
        </is>
      </c>
    </row>
    <row r="69">
      <c r="A69" s="7" t="inlineStr">
        <is>
          <t>G. Scope &amp; Line Items</t>
        </is>
      </c>
      <c r="B69" s="7" t="inlineStr">
        <is>
          <t>equipment_items</t>
        </is>
      </c>
      <c r="C69" s="7" t="inlineStr">
        <is>
          <t>Equipment List Table (Res §4.1)</t>
        </is>
      </c>
      <c r="D69" s="7" t="inlineStr">
        <is>
          <t>array&lt;{item, make_model, included_yn}&gt;</t>
        </is>
      </c>
      <c r="E69" s="7" t="inlineStr">
        <is>
          <t>[{'Router','Ubiquiti UDM Pro','Yes'}, ...]</t>
        </is>
      </c>
      <c r="F69" s="7" t="inlineStr">
        <is>
          <t>R</t>
        </is>
      </c>
      <c r="G69" s="7" t="inlineStr">
        <is>
          <t>Residential §4.1</t>
        </is>
      </c>
      <c r="H69" s="7" t="inlineStr">
        <is>
          <t>Equipment table</t>
        </is>
      </c>
      <c r="I69" s="12" t="inlineStr">
        <is>
          <t>BUNDLE</t>
        </is>
      </c>
      <c r="J69" s="7" t="inlineStr">
        <is>
          <t>Equipment rows from Bundle where source=eq</t>
        </is>
      </c>
      <c r="K69" s="7" t="inlineStr">
        <is>
          <t>—</t>
        </is>
      </c>
      <c r="L69" s="7" t="inlineStr">
        <is>
          <t>—</t>
        </is>
      </c>
      <c r="M69" s="7" t="inlineStr">
        <is>
          <t>No</t>
        </is>
      </c>
    </row>
    <row r="70">
      <c r="A70" s="7" t="inlineStr">
        <is>
          <t>G. Scope &amp; Line Items</t>
        </is>
      </c>
      <c r="B70" s="7" t="inlineStr">
        <is>
          <t>project_exclusions</t>
        </is>
      </c>
      <c r="C70" s="7" t="inlineStr">
        <is>
          <t>Project-Specific Exclusions (free text)</t>
        </is>
      </c>
      <c r="D70" s="7" t="inlineStr">
        <is>
          <t>array&lt;string&gt;</t>
        </is>
      </c>
      <c r="E70" s="7" t="inlineStr">
        <is>
          <t>['Core drilling beyond drawings','Temp cabling']</t>
        </is>
      </c>
      <c r="F70" s="7" t="inlineStr">
        <is>
          <t>G, O</t>
        </is>
      </c>
      <c r="G70" s="7" t="inlineStr">
        <is>
          <t>GC §3.5, Owner §4.2</t>
        </is>
      </c>
      <c r="H70" s="7" t="inlineStr">
        <is>
          <t>Exclusions</t>
        </is>
      </c>
      <c r="I70" s="8" t="inlineStr">
        <is>
          <t>MINI-CALC</t>
        </is>
      </c>
      <c r="J70" s="7" t="inlineStr">
        <is>
          <t>Project exclusions free-text list</t>
        </is>
      </c>
      <c r="K70" s="7" t="inlineStr">
        <is>
          <t>Appended to standard hard-rules exclusions</t>
        </is>
      </c>
      <c r="L70" s="7" t="inlineStr">
        <is>
          <t>—</t>
        </is>
      </c>
      <c r="M70" s="7" t="inlineStr">
        <is>
          <t>No</t>
        </is>
      </c>
    </row>
    <row r="71">
      <c r="A71" s="7" t="inlineStr">
        <is>
          <t>G. Scope &amp; Line Items</t>
        </is>
      </c>
      <c r="B71" s="7" t="inlineStr">
        <is>
          <t>data_drops_count</t>
        </is>
      </c>
      <c r="C71" s="7" t="inlineStr">
        <is>
          <t>Cat6A Data Drops — count</t>
        </is>
      </c>
      <c r="D71" s="7" t="inlineStr">
        <is>
          <t>integer</t>
        </is>
      </c>
      <c r="E71" s="7" t="inlineStr">
        <is>
          <t>420</t>
        </is>
      </c>
      <c r="F71" s="7" t="inlineStr">
        <is>
          <t>G</t>
        </is>
      </c>
      <c r="G71" s="7" t="inlineStr">
        <is>
          <t>GC §3.4 summary</t>
        </is>
      </c>
      <c r="H71" s="7" t="inlineStr">
        <is>
          <t>Scope &amp; Summary</t>
        </is>
      </c>
      <c r="I71" s="12" t="inlineStr">
        <is>
          <t>BUNDLE</t>
        </is>
      </c>
      <c r="J71" s="7" t="inlineStr">
        <is>
          <t>count of bundle rows matching drop SKU</t>
        </is>
      </c>
      <c r="K71" s="7" t="inlineStr">
        <is>
          <t>—</t>
        </is>
      </c>
      <c r="L71" s="7" t="inlineStr">
        <is>
          <t>≥ 0</t>
        </is>
      </c>
      <c r="M71" s="7" t="inlineStr">
        <is>
          <t>No</t>
        </is>
      </c>
    </row>
    <row r="72">
      <c r="A72" s="7" t="inlineStr">
        <is>
          <t>G. Scope &amp; Line Items</t>
        </is>
      </c>
      <c r="B72" s="7" t="inlineStr">
        <is>
          <t>camera_count_commercial</t>
        </is>
      </c>
      <c r="C72" s="7" t="inlineStr">
        <is>
          <t>IP Cameras — count (commercial)</t>
        </is>
      </c>
      <c r="D72" s="7" t="inlineStr">
        <is>
          <t>integer</t>
        </is>
      </c>
      <c r="E72" s="7" t="inlineStr">
        <is>
          <t>47</t>
        </is>
      </c>
      <c r="F72" s="7" t="inlineStr">
        <is>
          <t>G, O</t>
        </is>
      </c>
      <c r="G72" s="7" t="inlineStr">
        <is>
          <t>GC §3.4, Owner §4</t>
        </is>
      </c>
      <c r="H72" s="7" t="inlineStr">
        <is>
          <t>Scope &amp; Summary</t>
        </is>
      </c>
      <c r="I72" s="12" t="inlineStr">
        <is>
          <t>BUNDLE</t>
        </is>
      </c>
      <c r="J72" s="7" t="inlineStr">
        <is>
          <t>count of bundle rows matching camera SKU</t>
        </is>
      </c>
      <c r="K72" s="7" t="inlineStr">
        <is>
          <t>—</t>
        </is>
      </c>
      <c r="L72" s="7" t="inlineStr">
        <is>
          <t>≥ 0</t>
        </is>
      </c>
      <c r="M72" s="7" t="inlineStr">
        <is>
          <t>No</t>
        </is>
      </c>
    </row>
    <row r="73">
      <c r="A73" s="7" t="inlineStr">
        <is>
          <t>G. Scope &amp; Line Items</t>
        </is>
      </c>
      <c r="B73" s="7" t="inlineStr">
        <is>
          <t>door_positions_count</t>
        </is>
      </c>
      <c r="C73" s="7" t="inlineStr">
        <is>
          <t>Access-Controlled Doors — count</t>
        </is>
      </c>
      <c r="D73" s="7" t="inlineStr">
        <is>
          <t>integer</t>
        </is>
      </c>
      <c r="E73" s="7" t="inlineStr">
        <is>
          <t>18</t>
        </is>
      </c>
      <c r="F73" s="7" t="inlineStr">
        <is>
          <t>G</t>
        </is>
      </c>
      <c r="G73" s="7" t="inlineStr">
        <is>
          <t>GC §3.4</t>
        </is>
      </c>
      <c r="H73" s="7" t="inlineStr">
        <is>
          <t>Scope &amp; Summary</t>
        </is>
      </c>
      <c r="I73" s="12" t="inlineStr">
        <is>
          <t>BUNDLE</t>
        </is>
      </c>
      <c r="J73" s="7" t="inlineStr">
        <is>
          <t>count of bundle rows matching ACS door SKU</t>
        </is>
      </c>
      <c r="K73" s="7" t="inlineStr">
        <is>
          <t>—</t>
        </is>
      </c>
      <c r="L73" s="7" t="inlineStr">
        <is>
          <t>≥ 0</t>
        </is>
      </c>
      <c r="M73" s="7" t="inlineStr">
        <is>
          <t>No</t>
        </is>
      </c>
    </row>
    <row r="74">
      <c r="A74" s="7" t="inlineStr">
        <is>
          <t>G. Scope &amp; Line Items</t>
        </is>
      </c>
      <c r="B74" s="7" t="inlineStr">
        <is>
          <t>fiber_strands_count</t>
        </is>
      </c>
      <c r="C74" s="7" t="inlineStr">
        <is>
          <t>Fiber Backbone Strands — count</t>
        </is>
      </c>
      <c r="D74" s="7" t="inlineStr">
        <is>
          <t>integer</t>
        </is>
      </c>
      <c r="E74" s="7" t="inlineStr">
        <is>
          <t>24</t>
        </is>
      </c>
      <c r="F74" s="7" t="inlineStr">
        <is>
          <t>G</t>
        </is>
      </c>
      <c r="G74" s="7" t="inlineStr">
        <is>
          <t>GC §3.4</t>
        </is>
      </c>
      <c r="H74" s="7" t="inlineStr">
        <is>
          <t>Scope &amp; Summary</t>
        </is>
      </c>
      <c r="I74" s="12" t="inlineStr">
        <is>
          <t>BUNDLE</t>
        </is>
      </c>
      <c r="J74" s="7" t="inlineStr">
        <is>
          <t>count of fiber strand line items</t>
        </is>
      </c>
      <c r="K74" s="7" t="inlineStr">
        <is>
          <t>—</t>
        </is>
      </c>
      <c r="L74" s="7" t="inlineStr">
        <is>
          <t>≥ 0</t>
        </is>
      </c>
      <c r="M74" s="7" t="inlineStr">
        <is>
          <t>No</t>
        </is>
      </c>
    </row>
    <row r="75">
      <c r="A75" s="7" t="inlineStr">
        <is>
          <t>G. Scope &amp; Line Items</t>
        </is>
      </c>
      <c r="B75" s="7" t="inlineStr">
        <is>
          <t>rack_count</t>
        </is>
      </c>
      <c r="C75" s="7" t="inlineStr">
        <is>
          <t>Racks Installed — count</t>
        </is>
      </c>
      <c r="D75" s="7" t="inlineStr">
        <is>
          <t>integer</t>
        </is>
      </c>
      <c r="E75" s="7" t="inlineStr">
        <is>
          <t>1</t>
        </is>
      </c>
      <c r="F75" s="7" t="inlineStr">
        <is>
          <t>G, O</t>
        </is>
      </c>
      <c r="G75" s="7" t="inlineStr">
        <is>
          <t>GC §3.4</t>
        </is>
      </c>
      <c r="H75" s="7" t="inlineStr">
        <is>
          <t>Scope &amp; Summary</t>
        </is>
      </c>
      <c r="I75" s="12" t="inlineStr">
        <is>
          <t>BUNDLE</t>
        </is>
      </c>
      <c r="J75" s="7" t="inlineStr">
        <is>
          <t>count of rack SKUs</t>
        </is>
      </c>
      <c r="K75" s="7" t="inlineStr">
        <is>
          <t>—</t>
        </is>
      </c>
      <c r="L75" s="7" t="inlineStr">
        <is>
          <t>≥ 0</t>
        </is>
      </c>
      <c r="M75" s="7" t="inlineStr">
        <is>
          <t>No</t>
        </is>
      </c>
    </row>
    <row r="76">
      <c r="A76" s="7" t="inlineStr">
        <is>
          <t>G. Scope &amp; Line Items</t>
        </is>
      </c>
      <c r="B76" s="7" t="inlineStr">
        <is>
          <t>switch_count</t>
        </is>
      </c>
      <c r="C76" s="7" t="inlineStr">
        <is>
          <t>Aggregation Switches — count</t>
        </is>
      </c>
      <c r="D76" s="7" t="inlineStr">
        <is>
          <t>integer</t>
        </is>
      </c>
      <c r="E76" s="7" t="inlineStr">
        <is>
          <t>1</t>
        </is>
      </c>
      <c r="F76" s="7" t="inlineStr">
        <is>
          <t>G, O</t>
        </is>
      </c>
      <c r="G76" s="7" t="inlineStr">
        <is>
          <t>GC §3.4</t>
        </is>
      </c>
      <c r="H76" s="7" t="inlineStr">
        <is>
          <t>Scope &amp; Summary</t>
        </is>
      </c>
      <c r="I76" s="12" t="inlineStr">
        <is>
          <t>BUNDLE</t>
        </is>
      </c>
      <c r="J76" s="7" t="inlineStr">
        <is>
          <t>count of switch SKUs</t>
        </is>
      </c>
      <c r="K76" s="7" t="inlineStr">
        <is>
          <t>—</t>
        </is>
      </c>
      <c r="L76" s="7" t="inlineStr">
        <is>
          <t>≥ 0</t>
        </is>
      </c>
      <c r="M76" s="7" t="inlineStr">
        <is>
          <t>No</t>
        </is>
      </c>
    </row>
    <row r="77">
      <c r="A77" s="7" t="inlineStr">
        <is>
          <t>G. Scope &amp; Line Items</t>
        </is>
      </c>
      <c r="B77" s="7" t="inlineStr">
        <is>
          <t>ap_count</t>
        </is>
      </c>
      <c r="C77" s="7" t="inlineStr">
        <is>
          <t>Wireless APs — count</t>
        </is>
      </c>
      <c r="D77" s="7" t="inlineStr">
        <is>
          <t>integer</t>
        </is>
      </c>
      <c r="E77" s="7" t="inlineStr">
        <is>
          <t>4</t>
        </is>
      </c>
      <c r="F77" s="7" t="inlineStr">
        <is>
          <t>O, R</t>
        </is>
      </c>
      <c r="G77" s="7" t="inlineStr">
        <is>
          <t>Owner §4, Res §4</t>
        </is>
      </c>
      <c r="H77" s="7" t="inlineStr">
        <is>
          <t>Scope narrative</t>
        </is>
      </c>
      <c r="I77" s="12" t="inlineStr">
        <is>
          <t>BUNDLE</t>
        </is>
      </c>
      <c r="J77" s="7" t="inlineStr">
        <is>
          <t>count of AP SKUs</t>
        </is>
      </c>
      <c r="K77" s="7" t="inlineStr">
        <is>
          <t>—</t>
        </is>
      </c>
      <c r="L77" s="7" t="inlineStr">
        <is>
          <t>≥ 0</t>
        </is>
      </c>
      <c r="M77" s="7" t="inlineStr">
        <is>
          <t>No</t>
        </is>
      </c>
    </row>
    <row r="78">
      <c r="A78" s="7" t="inlineStr">
        <is>
          <t>G. Scope &amp; Line Items</t>
        </is>
      </c>
      <c r="B78" s="7" t="inlineStr">
        <is>
          <t>drop_count</t>
        </is>
      </c>
      <c r="C78" s="7" t="inlineStr">
        <is>
          <t>Data Drops — count (Residential)</t>
        </is>
      </c>
      <c r="D78" s="7" t="inlineStr">
        <is>
          <t>integer</t>
        </is>
      </c>
      <c r="E78" s="7" t="inlineStr">
        <is>
          <t>12</t>
        </is>
      </c>
      <c r="F78" s="7" t="inlineStr">
        <is>
          <t>R</t>
        </is>
      </c>
      <c r="G78" s="7" t="inlineStr">
        <is>
          <t>Residential §04</t>
        </is>
      </c>
      <c r="H78" s="7" t="inlineStr">
        <is>
          <t>Scope narrative + equipment list</t>
        </is>
      </c>
      <c r="I78" s="12" t="inlineStr">
        <is>
          <t>BUNDLE</t>
        </is>
      </c>
      <c r="J78" s="7" t="inlineStr">
        <is>
          <t>count of residential drop SKUs</t>
        </is>
      </c>
      <c r="K78" s="7" t="inlineStr">
        <is>
          <t>—</t>
        </is>
      </c>
      <c r="L78" s="7" t="inlineStr">
        <is>
          <t>≥ 0</t>
        </is>
      </c>
      <c r="M78" s="7" t="inlineStr">
        <is>
          <t>No</t>
        </is>
      </c>
    </row>
    <row r="79">
      <c r="A79" s="7" t="inlineStr">
        <is>
          <t>G. Scope &amp; Line Items</t>
        </is>
      </c>
      <c r="B79" s="7" t="inlineStr">
        <is>
          <t>panel_location</t>
        </is>
      </c>
      <c r="C79" s="7" t="inlineStr">
        <is>
          <t>Structured-Media Panel Location</t>
        </is>
      </c>
      <c r="D79" s="7" t="inlineStr">
        <is>
          <t>string</t>
        </is>
      </c>
      <c r="E79" s="7" t="inlineStr">
        <is>
          <t>basement mechanical room</t>
        </is>
      </c>
      <c r="F79" s="7" t="inlineStr">
        <is>
          <t>R</t>
        </is>
      </c>
      <c r="G79" s="7" t="inlineStr">
        <is>
          <t>Residential §04</t>
        </is>
      </c>
      <c r="H79" s="7" t="inlineStr">
        <is>
          <t>Scope narrative</t>
        </is>
      </c>
      <c r="I79" s="8" t="inlineStr">
        <is>
          <t>MINI-CALC</t>
        </is>
      </c>
      <c r="J79" s="7" t="inlineStr">
        <is>
          <t>Panel Location field</t>
        </is>
      </c>
      <c r="K79" s="7" t="inlineStr">
        <is>
          <t>—</t>
        </is>
      </c>
      <c r="L79" s="7" t="inlineStr">
        <is>
          <t>Required for Res</t>
        </is>
      </c>
      <c r="M79" s="7" t="inlineStr">
        <is>
          <t>No</t>
        </is>
      </c>
    </row>
    <row r="80">
      <c r="A80" s="7" t="inlineStr">
        <is>
          <t>G. Scope &amp; Line Items</t>
        </is>
      </c>
      <c r="B80" s="7" t="inlineStr">
        <is>
          <t>camera_count_residential</t>
        </is>
      </c>
      <c r="C80" s="7" t="inlineStr">
        <is>
          <t>Cameras — count (Residential)</t>
        </is>
      </c>
      <c r="D80" s="7" t="inlineStr">
        <is>
          <t>integer</t>
        </is>
      </c>
      <c r="E80" s="7" t="inlineStr">
        <is>
          <t>5</t>
        </is>
      </c>
      <c r="F80" s="7" t="inlineStr">
        <is>
          <t>R</t>
        </is>
      </c>
      <c r="G80" s="7" t="inlineStr">
        <is>
          <t>Residential §04</t>
        </is>
      </c>
      <c r="H80" s="7" t="inlineStr">
        <is>
          <t>Scope narrative</t>
        </is>
      </c>
      <c r="I80" s="12" t="inlineStr">
        <is>
          <t>BUNDLE</t>
        </is>
      </c>
      <c r="J80" s="7" t="inlineStr">
        <is>
          <t>count of residential camera SKUs</t>
        </is>
      </c>
      <c r="K80" s="7" t="inlineStr">
        <is>
          <t>—</t>
        </is>
      </c>
      <c r="L80" s="7" t="inlineStr">
        <is>
          <t>≥ 0</t>
        </is>
      </c>
      <c r="M80" s="7" t="inlineStr">
        <is>
          <t>No</t>
        </is>
      </c>
    </row>
    <row r="81">
      <c r="A81" s="7" t="inlineStr">
        <is>
          <t>G. Scope &amp; Line Items</t>
        </is>
      </c>
      <c r="B81" s="7" t="inlineStr">
        <is>
          <t>install_days_count</t>
        </is>
      </c>
      <c r="C81" s="7" t="inlineStr">
        <is>
          <t>Install Days On Site</t>
        </is>
      </c>
      <c r="D81" s="7" t="inlineStr">
        <is>
          <t>integer</t>
        </is>
      </c>
      <c r="E81" s="7" t="inlineStr">
        <is>
          <t>3</t>
        </is>
      </c>
      <c r="F81" s="7" t="inlineStr">
        <is>
          <t>R</t>
        </is>
      </c>
      <c r="G81" s="7" t="inlineStr">
        <is>
          <t>Residential §05</t>
        </is>
      </c>
      <c r="H81" s="7" t="inlineStr">
        <is>
          <t>Schedule narrative</t>
        </is>
      </c>
      <c r="I81" s="8" t="inlineStr">
        <is>
          <t>MINI-CALC</t>
        </is>
      </c>
      <c r="J81" s="7" t="inlineStr">
        <is>
          <t>Install days field</t>
        </is>
      </c>
      <c r="K81" s="7" t="inlineStr">
        <is>
          <t>Derived from schedule_template if unset</t>
        </is>
      </c>
      <c r="L81" s="7" t="inlineStr">
        <is>
          <t>1–10</t>
        </is>
      </c>
      <c r="M81" s="7" t="inlineStr">
        <is>
          <t>No</t>
        </is>
      </c>
    </row>
    <row r="82">
      <c r="A82" s="5" t="inlineStr">
        <is>
          <t>H. Schedule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>
      <c r="A83" s="7" t="inlineStr">
        <is>
          <t>H. Schedule</t>
        </is>
      </c>
      <c r="B83" s="7" t="inlineStr">
        <is>
          <t>schedule_template</t>
        </is>
      </c>
      <c r="C83" s="7" t="inlineStr">
        <is>
          <t>Schedule Template Selection</t>
        </is>
      </c>
      <c r="D83" s="7" t="inlineStr">
        <is>
          <t>enum</t>
        </is>
      </c>
      <c r="E83" s="7" t="inlineStr">
        <is>
          <t>T1 K-12 Summer</t>
        </is>
      </c>
      <c r="F83" s="7" t="inlineStr">
        <is>
          <t>G, O, R</t>
        </is>
      </c>
      <c r="G83" s="7" t="inlineStr">
        <is>
          <t>GC §08, Owner §05.1, Res §05</t>
        </is>
      </c>
      <c r="H83" s="7" t="inlineStr">
        <is>
          <t>Schedule section</t>
        </is>
      </c>
      <c r="I83" s="10" t="inlineStr">
        <is>
          <t>COMPUTED</t>
        </is>
      </c>
      <c r="J83" s="7" t="inlineStr">
        <is>
          <t>Map from project_type per schedule/milestone-templates.md</t>
        </is>
      </c>
      <c r="K83" s="7" t="inlineStr">
        <is>
          <t>—</t>
        </is>
      </c>
      <c r="L83" s="7" t="inlineStr">
        <is>
          <t>Required</t>
        </is>
      </c>
      <c r="M83" s="7" t="inlineStr">
        <is>
          <t>Yes — schedule_tpl</t>
        </is>
      </c>
    </row>
    <row r="84">
      <c r="A84" s="7" t="inlineStr">
        <is>
          <t>H. Schedule</t>
        </is>
      </c>
      <c r="B84" s="7" t="inlineStr">
        <is>
          <t>schedule_summary_line</t>
        </is>
      </c>
      <c r="C84" s="7" t="inlineStr">
        <is>
          <t>Schedule Summary Line (GC overview)</t>
        </is>
      </c>
      <c r="D84" s="7" t="inlineStr">
        <is>
          <t>string</t>
        </is>
      </c>
      <c r="E84" s="7" t="inlineStr">
        <is>
          <t>Mobilize Mon 2027-05-31; SC Fri 2027-07-30</t>
        </is>
      </c>
      <c r="F84" s="7" t="inlineStr">
        <is>
          <t>G</t>
        </is>
      </c>
      <c r="G84" s="7" t="inlineStr">
        <is>
          <t>GC §02</t>
        </is>
      </c>
      <c r="H84" s="7" t="inlineStr">
        <is>
          <t>Bid Overview</t>
        </is>
      </c>
      <c r="I84" s="10" t="inlineStr">
        <is>
          <t>COMPUTED</t>
        </is>
      </c>
      <c r="J84" s="7" t="inlineStr">
        <is>
          <t>'Mobilize {mob}; SC {sc}' formatted</t>
        </is>
      </c>
      <c r="K84" s="7" t="inlineStr">
        <is>
          <t>—</t>
        </is>
      </c>
      <c r="L84" s="7" t="inlineStr">
        <is>
          <t>—</t>
        </is>
      </c>
      <c r="M84" s="7" t="inlineStr">
        <is>
          <t>No</t>
        </is>
      </c>
    </row>
    <row r="85">
      <c r="A85" s="7" t="inlineStr">
        <is>
          <t>H. Schedule</t>
        </is>
      </c>
      <c r="B85" s="7" t="inlineStr">
        <is>
          <t>schedule_headline</t>
        </is>
      </c>
      <c r="C85" s="7" t="inlineStr">
        <is>
          <t>Schedule Headline (Owner summary)</t>
        </is>
      </c>
      <c r="D85" s="7" t="inlineStr">
        <is>
          <t>string</t>
        </is>
      </c>
      <c r="E85" s="7" t="inlineStr">
        <is>
          <t>Four consecutive business days on site, plus return visit for walkthrough</t>
        </is>
      </c>
      <c r="F85" s="7" t="inlineStr">
        <is>
          <t>O</t>
        </is>
      </c>
      <c r="G85" s="7" t="inlineStr">
        <is>
          <t>Owner §02</t>
        </is>
      </c>
      <c r="H85" s="7" t="inlineStr">
        <is>
          <t>Executive Summary</t>
        </is>
      </c>
      <c r="I85" s="8" t="inlineStr">
        <is>
          <t>MINI-CALC</t>
        </is>
      </c>
      <c r="J85" s="7" t="inlineStr">
        <is>
          <t>Headline field</t>
        </is>
      </c>
      <c r="K85" s="7" t="inlineStr">
        <is>
          <t>—</t>
        </is>
      </c>
      <c r="L85" s="7" t="inlineStr">
        <is>
          <t>≤120 chars</t>
        </is>
      </c>
      <c r="M85" s="7" t="inlineStr">
        <is>
          <t>No</t>
        </is>
      </c>
    </row>
    <row r="86">
      <c r="A86" s="7" t="inlineStr">
        <is>
          <t>H. Schedule</t>
        </is>
      </c>
      <c r="B86" s="7" t="inlineStr">
        <is>
          <t>schedule_constraints</t>
        </is>
      </c>
      <c r="C86" s="7" t="inlineStr">
        <is>
          <t>Schedule Constraints / Notes</t>
        </is>
      </c>
      <c r="D86" s="7" t="inlineStr">
        <is>
          <t>string (paragraph)</t>
        </is>
      </c>
      <c r="E86" s="7" t="inlineStr">
        <is>
          <t>Building dark starting graduation weekend; in-service begins 2027-08-09</t>
        </is>
      </c>
      <c r="F86" s="7" t="inlineStr">
        <is>
          <t>G</t>
        </is>
      </c>
      <c r="G86" s="7" t="inlineStr">
        <is>
          <t>GC §08 Schedule Notes</t>
        </is>
      </c>
      <c r="H86" s="7" t="inlineStr">
        <is>
          <t>Schedule narrative</t>
        </is>
      </c>
      <c r="I86" s="8" t="inlineStr">
        <is>
          <t>MINI-CALC</t>
        </is>
      </c>
      <c r="J86" s="7" t="inlineStr">
        <is>
          <t>Schedule notes field</t>
        </is>
      </c>
      <c r="K86" s="7" t="inlineStr">
        <is>
          <t>—</t>
        </is>
      </c>
      <c r="L86" s="7" t="inlineStr">
        <is>
          <t>—</t>
        </is>
      </c>
      <c r="M86" s="7" t="inlineStr">
        <is>
          <t>No</t>
        </is>
      </c>
    </row>
    <row r="87">
      <c r="A87" s="7" t="inlineStr">
        <is>
          <t>H. Schedule</t>
        </is>
      </c>
      <c r="B87" s="7" t="inlineStr">
        <is>
          <t>schedule_weekend_work_required</t>
        </is>
      </c>
      <c r="C87" s="7" t="inlineStr">
        <is>
          <t>Weekend Work in Base?</t>
        </is>
      </c>
      <c r="D87" s="7" t="inlineStr">
        <is>
          <t>boolean</t>
        </is>
      </c>
      <c r="E87" s="7" t="inlineStr">
        <is>
          <t>FALSE</t>
        </is>
      </c>
      <c r="F87" s="7" t="inlineStr">
        <is>
          <t>G</t>
        </is>
      </c>
      <c r="G87" s="7" t="inlineStr">
        <is>
          <t>GC §08 Schedule Notes</t>
        </is>
      </c>
      <c r="H87" s="7" t="inlineStr">
        <is>
          <t>Schedule narrative</t>
        </is>
      </c>
      <c r="I87" s="8" t="inlineStr">
        <is>
          <t>MINI-CALC</t>
        </is>
      </c>
      <c r="J87" s="7" t="inlineStr">
        <is>
          <t>Weekend checkbox</t>
        </is>
      </c>
      <c r="K87" s="7" t="inlineStr">
        <is>
          <t>Drives D1 alternate presentation</t>
        </is>
      </c>
      <c r="L87" s="7" t="inlineStr">
        <is>
          <t>—</t>
        </is>
      </c>
      <c r="M87" s="7" t="inlineStr">
        <is>
          <t>Yes — Y/N</t>
        </is>
      </c>
    </row>
    <row r="88">
      <c r="A88" s="7" t="inlineStr">
        <is>
          <t>H. Schedule</t>
        </is>
      </c>
      <c r="B88" s="7" t="inlineStr">
        <is>
          <t>in_service_date</t>
        </is>
      </c>
      <c r="C88" s="7" t="inlineStr">
        <is>
          <t>Client In-Service / Re-Occupancy Date</t>
        </is>
      </c>
      <c r="D88" s="7" t="inlineStr">
        <is>
          <t>date YYYY-MM-DD</t>
        </is>
      </c>
      <c r="E88" s="7" t="inlineStr">
        <is>
          <t>2027-08-09</t>
        </is>
      </c>
      <c r="F88" s="7" t="inlineStr">
        <is>
          <t>G</t>
        </is>
      </c>
      <c r="G88" s="7" t="inlineStr">
        <is>
          <t>GC §08 Schedule Notes</t>
        </is>
      </c>
      <c r="H88" s="7" t="inlineStr">
        <is>
          <t>Schedule narrative</t>
        </is>
      </c>
      <c r="I88" s="8" t="inlineStr">
        <is>
          <t>MINI-CALC</t>
        </is>
      </c>
      <c r="J88" s="7" t="inlineStr">
        <is>
          <t>In-service date field</t>
        </is>
      </c>
      <c r="K88" s="7" t="inlineStr">
        <is>
          <t>Used to compute buffer days</t>
        </is>
      </c>
      <c r="L88" s="7" t="inlineStr">
        <is>
          <t>After substantial_completion_date</t>
        </is>
      </c>
      <c r="M88" s="7" t="inlineStr">
        <is>
          <t>No</t>
        </is>
      </c>
    </row>
    <row r="89">
      <c r="A89" s="7" t="inlineStr">
        <is>
          <t>H. Schedule</t>
        </is>
      </c>
      <c r="B89" s="7" t="inlineStr">
        <is>
          <t>milestones_weeks</t>
        </is>
      </c>
      <c r="C89" s="7" t="inlineStr">
        <is>
          <t>Milestone Weeks Array</t>
        </is>
      </c>
      <c r="D89" s="7" t="inlineStr">
        <is>
          <t>array&lt;{week, label, dates, notes}&gt;</t>
        </is>
      </c>
      <c r="E89" s="7" t="inlineStr">
        <is>
          <t>[{1, 'Mobilize IDF'},{'2–4','Rough-in'},...]</t>
        </is>
      </c>
      <c r="F89" s="7" t="inlineStr">
        <is>
          <t>G, O</t>
        </is>
      </c>
      <c r="G89" s="7" t="inlineStr">
        <is>
          <t>GC §08, Owner §05.1</t>
        </is>
      </c>
      <c r="H89" s="7" t="inlineStr">
        <is>
          <t>Schedule table</t>
        </is>
      </c>
      <c r="I89" s="10" t="inlineStr">
        <is>
          <t>COMPUTED</t>
        </is>
      </c>
      <c r="J89" s="7" t="inlineStr">
        <is>
          <t>From schedule_template + mobilization_date</t>
        </is>
      </c>
      <c r="K89" s="7" t="inlineStr">
        <is>
          <t>—</t>
        </is>
      </c>
      <c r="L89" s="7" t="inlineStr">
        <is>
          <t>—</t>
        </is>
      </c>
      <c r="M89" s="7" t="inlineStr">
        <is>
          <t>No</t>
        </is>
      </c>
    </row>
    <row r="90">
      <c r="A90" s="5" t="inlineStr">
        <is>
          <t>I. Bundle / Line Items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>
      <c r="A91" s="7" t="inlineStr">
        <is>
          <t>I. Bundle / Line Items</t>
        </is>
      </c>
      <c r="B91" s="7" t="inlineStr">
        <is>
          <t>line_sku</t>
        </is>
      </c>
      <c r="C91" s="7" t="inlineStr">
        <is>
          <t>SKU</t>
        </is>
      </c>
      <c r="D91" s="7" t="inlineStr">
        <is>
          <t>string</t>
        </is>
      </c>
      <c r="E91" s="7" t="inlineStr">
        <is>
          <t>EQ-001-UCG-ULTRA</t>
        </is>
      </c>
      <c r="F91" s="7" t="inlineStr">
        <is>
          <t>B, X</t>
        </is>
      </c>
      <c r="G91" s="7" t="inlineStr">
        <is>
          <t>Bundle HTML, Excel Line Items sheet</t>
        </is>
      </c>
      <c r="H91" s="7" t="inlineStr">
        <is>
          <t>Line Items table</t>
        </is>
      </c>
      <c r="I91" s="12" t="inlineStr">
        <is>
          <t>BUNDLE</t>
        </is>
      </c>
      <c r="J91" s="7" t="inlineStr">
        <is>
          <t>CATALOG[*].sku</t>
        </is>
      </c>
      <c r="K91" s="7" t="inlineStr">
        <is>
          <t>—</t>
        </is>
      </c>
      <c r="L91" s="7" t="inlineStr">
        <is>
          <t>Required</t>
        </is>
      </c>
      <c r="M91" s="7" t="inlineStr">
        <is>
          <t>No</t>
        </is>
      </c>
    </row>
    <row r="92">
      <c r="A92" s="7" t="inlineStr">
        <is>
          <t>I. Bundle / Line Items</t>
        </is>
      </c>
      <c r="B92" s="7" t="inlineStr">
        <is>
          <t>line_name</t>
        </is>
      </c>
      <c r="C92" s="7" t="inlineStr">
        <is>
          <t>Item Name</t>
        </is>
      </c>
      <c r="D92" s="7" t="inlineStr">
        <is>
          <t>string</t>
        </is>
      </c>
      <c r="E92" s="7" t="inlineStr">
        <is>
          <t>UniFi Cloud Gateway Ultra</t>
        </is>
      </c>
      <c r="F92" s="7" t="inlineStr">
        <is>
          <t>B, X</t>
        </is>
      </c>
      <c r="G92" s="7" t="inlineStr">
        <is>
          <t>Bundle HTML, Excel</t>
        </is>
      </c>
      <c r="H92" s="7" t="inlineStr">
        <is>
          <t>Line Items</t>
        </is>
      </c>
      <c r="I92" s="12" t="inlineStr">
        <is>
          <t>BUNDLE</t>
        </is>
      </c>
      <c r="J92" s="7" t="inlineStr">
        <is>
          <t>CATALOG[*].name</t>
        </is>
      </c>
      <c r="K92" s="7" t="inlineStr">
        <is>
          <t>—</t>
        </is>
      </c>
      <c r="L92" s="7" t="inlineStr">
        <is>
          <t>Required</t>
        </is>
      </c>
      <c r="M92" s="7" t="inlineStr">
        <is>
          <t>No</t>
        </is>
      </c>
    </row>
    <row r="93">
      <c r="A93" s="7" t="inlineStr">
        <is>
          <t>I. Bundle / Line Items</t>
        </is>
      </c>
      <c r="B93" s="7" t="inlineStr">
        <is>
          <t>line_description</t>
        </is>
      </c>
      <c r="C93" s="7" t="inlineStr">
        <is>
          <t>Item Description (long)</t>
        </is>
      </c>
      <c r="D93" s="7" t="inlineStr">
        <is>
          <t>string</t>
        </is>
      </c>
      <c r="E93" s="7" t="inlineStr">
        <is>
          <t>Cloud-managed gateway router, 1G WAN, 8 LAN</t>
        </is>
      </c>
      <c r="F93" s="7" t="inlineStr">
        <is>
          <t>B, X</t>
        </is>
      </c>
      <c r="G93" s="7" t="inlineStr">
        <is>
          <t>Bundle HTML, Excel</t>
        </is>
      </c>
      <c r="H93" s="7" t="inlineStr">
        <is>
          <t>Line Items</t>
        </is>
      </c>
      <c r="I93" s="12" t="inlineStr">
        <is>
          <t>BUNDLE</t>
        </is>
      </c>
      <c r="J93" s="7" t="inlineStr">
        <is>
          <t>CATALOG[*].description</t>
        </is>
      </c>
      <c r="K93" s="7" t="inlineStr">
        <is>
          <t>—</t>
        </is>
      </c>
      <c r="L93" s="7" t="inlineStr">
        <is>
          <t>—</t>
        </is>
      </c>
      <c r="M93" s="7" t="inlineStr">
        <is>
          <t>No</t>
        </is>
      </c>
    </row>
    <row r="94">
      <c r="A94" s="7" t="inlineStr">
        <is>
          <t>I. Bundle / Line Items</t>
        </is>
      </c>
      <c r="B94" s="7" t="inlineStr">
        <is>
          <t>line_category</t>
        </is>
      </c>
      <c r="C94" s="7" t="inlineStr">
        <is>
          <t>Item Category</t>
        </is>
      </c>
      <c r="D94" s="7" t="inlineStr">
        <is>
          <t>enum</t>
        </is>
      </c>
      <c r="E94" s="7" t="inlineStr">
        <is>
          <t>Cameras &amp; NVR</t>
        </is>
      </c>
      <c r="F94" s="7" t="inlineStr">
        <is>
          <t>B</t>
        </is>
      </c>
      <c r="G94" s="7" t="inlineStr">
        <is>
          <t>Bundle HTML</t>
        </is>
      </c>
      <c r="H94" s="7" t="inlineStr">
        <is>
          <t>Catalog filter chip</t>
        </is>
      </c>
      <c r="I94" s="12" t="inlineStr">
        <is>
          <t>BUNDLE</t>
        </is>
      </c>
      <c r="J94" s="7" t="inlineStr">
        <is>
          <t>CATALOG[*].category</t>
        </is>
      </c>
      <c r="K94" s="7" t="inlineStr">
        <is>
          <t>—</t>
        </is>
      </c>
      <c r="L94" s="7" t="inlineStr">
        <is>
          <t>Drives labor auto-add</t>
        </is>
      </c>
      <c r="M94" s="7" t="inlineStr">
        <is>
          <t>Yes — category</t>
        </is>
      </c>
    </row>
    <row r="95">
      <c r="A95" s="7" t="inlineStr">
        <is>
          <t>I. Bundle / Line Items</t>
        </is>
      </c>
      <c r="B95" s="7" t="inlineStr">
        <is>
          <t>line_vendor</t>
        </is>
      </c>
      <c r="C95" s="7" t="inlineStr">
        <is>
          <t>Vendor / Manufacturer</t>
        </is>
      </c>
      <c r="D95" s="7" t="inlineStr">
        <is>
          <t>string</t>
        </is>
      </c>
      <c r="E95" s="7" t="inlineStr">
        <is>
          <t>Ubiquiti</t>
        </is>
      </c>
      <c r="F95" s="7" t="inlineStr">
        <is>
          <t>B, X</t>
        </is>
      </c>
      <c r="G95" s="7" t="inlineStr">
        <is>
          <t>Bundle HTML, Excel</t>
        </is>
      </c>
      <c r="H95" s="7" t="inlineStr">
        <is>
          <t>Line Items</t>
        </is>
      </c>
      <c r="I95" s="12" t="inlineStr">
        <is>
          <t>BUNDLE</t>
        </is>
      </c>
      <c r="J95" s="7" t="inlineStr">
        <is>
          <t>CATALOG[*].vendor</t>
        </is>
      </c>
      <c r="K95" s="7" t="inlineStr">
        <is>
          <t>—</t>
        </is>
      </c>
      <c r="L95" s="7" t="inlineStr">
        <is>
          <t>—</t>
        </is>
      </c>
      <c r="M95" s="7" t="inlineStr">
        <is>
          <t>No</t>
        </is>
      </c>
    </row>
    <row r="96">
      <c r="A96" s="7" t="inlineStr">
        <is>
          <t>I. Bundle / Line Items</t>
        </is>
      </c>
      <c r="B96" s="7" t="inlineStr">
        <is>
          <t>line_mfr_part</t>
        </is>
      </c>
      <c r="C96" s="7" t="inlineStr">
        <is>
          <t>Manufacturer Part Number</t>
        </is>
      </c>
      <c r="D96" s="7" t="inlineStr">
        <is>
          <t>string</t>
        </is>
      </c>
      <c r="E96" s="7" t="inlineStr">
        <is>
          <t>UCG-ULTRA</t>
        </is>
      </c>
      <c r="F96" s="7" t="inlineStr">
        <is>
          <t>B, X</t>
        </is>
      </c>
      <c r="G96" s="7" t="inlineStr">
        <is>
          <t>Bundle HTML, Excel</t>
        </is>
      </c>
      <c r="H96" s="7" t="inlineStr">
        <is>
          <t>Line Items</t>
        </is>
      </c>
      <c r="I96" s="12" t="inlineStr">
        <is>
          <t>BUNDLE</t>
        </is>
      </c>
      <c r="J96" s="7" t="inlineStr">
        <is>
          <t>CATALOG[*].mfrPartNumber</t>
        </is>
      </c>
      <c r="K96" s="7" t="inlineStr">
        <is>
          <t>—</t>
        </is>
      </c>
      <c r="L96" s="7" t="inlineStr">
        <is>
          <t>—</t>
        </is>
      </c>
      <c r="M96" s="7" t="inlineStr">
        <is>
          <t>No</t>
        </is>
      </c>
    </row>
    <row r="97">
      <c r="A97" s="7" t="inlineStr">
        <is>
          <t>I. Bundle / Line Items</t>
        </is>
      </c>
      <c r="B97" s="7" t="inlineStr">
        <is>
          <t>line_unit</t>
        </is>
      </c>
      <c r="C97" s="7" t="inlineStr">
        <is>
          <t>Unit of Measure</t>
        </is>
      </c>
      <c r="D97" s="7" t="inlineStr">
        <is>
          <t>enum</t>
        </is>
      </c>
      <c r="E97" s="7" t="inlineStr">
        <is>
          <t>each</t>
        </is>
      </c>
      <c r="F97" s="7" t="inlineStr">
        <is>
          <t>B, X</t>
        </is>
      </c>
      <c r="G97" s="7" t="inlineStr">
        <is>
          <t>Bundle, Excel, GC §3.4</t>
        </is>
      </c>
      <c r="H97" s="7" t="inlineStr">
        <is>
          <t>Line Items, qty column</t>
        </is>
      </c>
      <c r="I97" s="12" t="inlineStr">
        <is>
          <t>BUNDLE</t>
        </is>
      </c>
      <c r="J97" s="7" t="inlineStr">
        <is>
          <t>CATALOG[*].unit</t>
        </is>
      </c>
      <c r="K97" s="7" t="inlineStr">
        <is>
          <t>—</t>
        </is>
      </c>
      <c r="L97" s="7" t="inlineStr">
        <is>
          <t>—</t>
        </is>
      </c>
      <c r="M97" s="7" t="inlineStr">
        <is>
          <t>Yes — unit</t>
        </is>
      </c>
    </row>
    <row r="98">
      <c r="A98" s="7" t="inlineStr">
        <is>
          <t>I. Bundle / Line Items</t>
        </is>
      </c>
      <c r="B98" s="7" t="inlineStr">
        <is>
          <t>line_cost_each</t>
        </is>
      </c>
      <c r="C98" s="7" t="inlineStr">
        <is>
          <t>Cost Each (internal)</t>
        </is>
      </c>
      <c r="D98" s="7" t="inlineStr">
        <is>
          <t>currency USD</t>
        </is>
      </c>
      <c r="E98" s="7" t="inlineStr">
        <is>
          <t>145.00</t>
        </is>
      </c>
      <c r="F98" s="7" t="inlineStr">
        <is>
          <t>B</t>
        </is>
      </c>
      <c r="G98" s="7" t="inlineStr">
        <is>
          <t>(internal, not client-facing)</t>
        </is>
      </c>
      <c r="H98" s="7" t="inlineStr">
        <is>
          <t>Margin calc</t>
        </is>
      </c>
      <c r="I98" s="12" t="inlineStr">
        <is>
          <t>BUNDLE</t>
        </is>
      </c>
      <c r="J98" s="7" t="inlineStr">
        <is>
          <t>CATALOG[*].costEach</t>
        </is>
      </c>
      <c r="K98" s="7" t="inlineStr">
        <is>
          <t>—</t>
        </is>
      </c>
      <c r="L98" s="7" t="inlineStr">
        <is>
          <t>Never shown to client</t>
        </is>
      </c>
      <c r="M98" s="7" t="inlineStr">
        <is>
          <t>No</t>
        </is>
      </c>
    </row>
    <row r="99">
      <c r="A99" s="7" t="inlineStr">
        <is>
          <t>I. Bundle / Line Items</t>
        </is>
      </c>
      <c r="B99" s="7" t="inlineStr">
        <is>
          <t>line_sale_each_default</t>
        </is>
      </c>
      <c r="C99" s="7" t="inlineStr">
        <is>
          <t>Sale Price Each (catalog default)</t>
        </is>
      </c>
      <c r="D99" s="7" t="inlineStr">
        <is>
          <t>currency USD</t>
        </is>
      </c>
      <c r="E99" s="7" t="inlineStr">
        <is>
          <t>179.00</t>
        </is>
      </c>
      <c r="F99" s="7" t="inlineStr">
        <is>
          <t>B, X</t>
        </is>
      </c>
      <c r="G99" s="7" t="inlineStr">
        <is>
          <t>Bundle, Excel</t>
        </is>
      </c>
      <c r="H99" s="7" t="inlineStr">
        <is>
          <t>Line Items sale column</t>
        </is>
      </c>
      <c r="I99" s="12" t="inlineStr">
        <is>
          <t>BUNDLE</t>
        </is>
      </c>
      <c r="J99" s="7" t="inlineStr">
        <is>
          <t>CATALOG[*].saleEach</t>
        </is>
      </c>
      <c r="K99" s="7" t="inlineStr">
        <is>
          <t>—</t>
        </is>
      </c>
      <c r="L99" s="7" t="inlineStr">
        <is>
          <t>—</t>
        </is>
      </c>
      <c r="M99" s="7" t="inlineStr">
        <is>
          <t>No</t>
        </is>
      </c>
    </row>
    <row r="100">
      <c r="A100" s="7" t="inlineStr">
        <is>
          <t>I. Bundle / Line Items</t>
        </is>
      </c>
      <c r="B100" s="7" t="inlineStr">
        <is>
          <t>line_sale_each_override</t>
        </is>
      </c>
      <c r="C100" s="7" t="inlineStr">
        <is>
          <t>Sale Price Override (per-line)</t>
        </is>
      </c>
      <c r="D100" s="7" t="inlineStr">
        <is>
          <t>currency USD</t>
        </is>
      </c>
      <c r="E100" s="7" t="inlineStr">
        <is>
          <t>175.00</t>
        </is>
      </c>
      <c r="F100" s="7" t="inlineStr">
        <is>
          <t>B, X</t>
        </is>
      </c>
      <c r="G100" s="7" t="inlineStr">
        <is>
          <t>Bundle, Excel</t>
        </is>
      </c>
      <c r="H100" s="7" t="inlineStr">
        <is>
          <t>Line Items sale column</t>
        </is>
      </c>
      <c r="I100" s="12" t="inlineStr">
        <is>
          <t>BUNDLE</t>
        </is>
      </c>
      <c r="J100" s="7" t="inlineStr">
        <is>
          <t>Per-line override input</t>
        </is>
      </c>
      <c r="K100" s="7" t="inlineStr">
        <is>
          <t>Flags red margin &lt;25%</t>
        </is>
      </c>
      <c r="L100" s="7" t="inlineStr">
        <is>
          <t>—</t>
        </is>
      </c>
      <c r="M100" s="7" t="inlineStr">
        <is>
          <t>No</t>
        </is>
      </c>
    </row>
    <row r="101">
      <c r="A101" s="7" t="inlineStr">
        <is>
          <t>I. Bundle / Line Items</t>
        </is>
      </c>
      <c r="B101" s="7" t="inlineStr">
        <is>
          <t>line_qty</t>
        </is>
      </c>
      <c r="C101" s="7" t="inlineStr">
        <is>
          <t>Quantity</t>
        </is>
      </c>
      <c r="D101" s="7" t="inlineStr">
        <is>
          <t>number (decimal OK)</t>
        </is>
      </c>
      <c r="E101" s="7" t="inlineStr">
        <is>
          <t>12</t>
        </is>
      </c>
      <c r="F101" s="7" t="inlineStr">
        <is>
          <t>B, X</t>
        </is>
      </c>
      <c r="G101" s="7" t="inlineStr">
        <is>
          <t>Bundle, Excel</t>
        </is>
      </c>
      <c r="H101" s="7" t="inlineStr">
        <is>
          <t>Line Items qty column</t>
        </is>
      </c>
      <c r="I101" s="12" t="inlineStr">
        <is>
          <t>BUNDLE</t>
        </is>
      </c>
      <c r="J101" s="7" t="inlineStr">
        <is>
          <t>Per-line qty input</t>
        </is>
      </c>
      <c r="K101" s="7" t="inlineStr">
        <is>
          <t>—</t>
        </is>
      </c>
      <c r="L101" s="7" t="inlineStr">
        <is>
          <t>&gt; 0</t>
        </is>
      </c>
      <c r="M101" s="7" t="inlineStr">
        <is>
          <t>No</t>
        </is>
      </c>
    </row>
    <row r="102">
      <c r="A102" s="7" t="inlineStr">
        <is>
          <t>I. Bundle / Line Items</t>
        </is>
      </c>
      <c r="B102" s="7" t="inlineStr">
        <is>
          <t>line_margin_pct</t>
        </is>
      </c>
      <c r="C102" s="7" t="inlineStr">
        <is>
          <t>Line Margin %</t>
        </is>
      </c>
      <c r="D102" s="7" t="inlineStr">
        <is>
          <t>percent</t>
        </is>
      </c>
      <c r="E102" s="7" t="inlineStr">
        <is>
          <t>0.23</t>
        </is>
      </c>
      <c r="F102" s="7" t="inlineStr">
        <is>
          <t>B</t>
        </is>
      </c>
      <c r="G102" s="7" t="inlineStr">
        <is>
          <t>(internal only)</t>
        </is>
      </c>
      <c r="H102" s="7" t="inlineStr">
        <is>
          <t>Margin indicator cell</t>
        </is>
      </c>
      <c r="I102" s="10" t="inlineStr">
        <is>
          <t>COMPUTED</t>
        </is>
      </c>
      <c r="J102" s="7" t="inlineStr">
        <is>
          <t>(sale − cost) / sale</t>
        </is>
      </c>
      <c r="K102" s="7" t="inlineStr">
        <is>
          <t>Turns red if &lt; 0.25</t>
        </is>
      </c>
      <c r="L102" s="7" t="inlineStr">
        <is>
          <t>—</t>
        </is>
      </c>
      <c r="M102" s="7" t="inlineStr">
        <is>
          <t>No</t>
        </is>
      </c>
    </row>
    <row r="103">
      <c r="A103" s="7" t="inlineStr">
        <is>
          <t>I. Bundle / Line Items</t>
        </is>
      </c>
      <c r="B103" s="7" t="inlineStr">
        <is>
          <t>line_extended</t>
        </is>
      </c>
      <c r="C103" s="7" t="inlineStr">
        <is>
          <t>Extended Price</t>
        </is>
      </c>
      <c r="D103" s="7" t="inlineStr">
        <is>
          <t>currency USD</t>
        </is>
      </c>
      <c r="E103" s="7" t="inlineStr">
        <is>
          <t>2148.00</t>
        </is>
      </c>
      <c r="F103" s="7" t="inlineStr">
        <is>
          <t>B, X</t>
        </is>
      </c>
      <c r="G103" s="7" t="inlineStr">
        <is>
          <t>Bundle, Excel Summary + Line Items</t>
        </is>
      </c>
      <c r="H103" s="7" t="inlineStr">
        <is>
          <t>Extended column</t>
        </is>
      </c>
      <c r="I103" s="10" t="inlineStr">
        <is>
          <t>COMPUTED</t>
        </is>
      </c>
      <c r="J103" s="7" t="inlineStr">
        <is>
          <t>line_qty × line_sale_each</t>
        </is>
      </c>
      <c r="K103" s="7" t="inlineStr">
        <is>
          <t>—</t>
        </is>
      </c>
      <c r="L103" s="7" t="inlineStr">
        <is>
          <t>—</t>
        </is>
      </c>
      <c r="M103" s="7" t="inlineStr">
        <is>
          <t>No</t>
        </is>
      </c>
    </row>
    <row r="104">
      <c r="A104" s="7" t="inlineStr">
        <is>
          <t>I. Bundle / Line Items</t>
        </is>
      </c>
      <c r="B104" s="7" t="inlineStr">
        <is>
          <t>line_labor_hours</t>
        </is>
      </c>
      <c r="C104" s="7" t="inlineStr">
        <is>
          <t>Labor Hours (Services only)</t>
        </is>
      </c>
      <c r="D104" s="7" t="inlineStr">
        <is>
          <t>hours</t>
        </is>
      </c>
      <c r="E104" s="7" t="inlineStr">
        <is>
          <t>1.0</t>
        </is>
      </c>
      <c r="F104" s="7" t="inlineStr">
        <is>
          <t>B, X</t>
        </is>
      </c>
      <c r="G104" s="7" t="inlineStr">
        <is>
          <t>Bundle, Excel</t>
        </is>
      </c>
      <c r="H104" s="7" t="inlineStr">
        <is>
          <t>Labor subtotal row</t>
        </is>
      </c>
      <c r="I104" s="12" t="inlineStr">
        <is>
          <t>BUNDLE</t>
        </is>
      </c>
      <c r="J104" s="7" t="inlineStr">
        <is>
          <t>CATALOG.sv[*].laborHours</t>
        </is>
      </c>
      <c r="K104" s="7" t="inlineStr">
        <is>
          <t>—</t>
        </is>
      </c>
      <c r="L104" s="7" t="inlineStr">
        <is>
          <t>Services rows only</t>
        </is>
      </c>
      <c r="M104" s="7" t="inlineStr">
        <is>
          <t>No</t>
        </is>
      </c>
    </row>
    <row r="105">
      <c r="A105" s="7" t="inlineStr">
        <is>
          <t>I. Bundle / Line Items</t>
        </is>
      </c>
      <c r="B105" s="7" t="inlineStr">
        <is>
          <t>line_source</t>
        </is>
      </c>
      <c r="C105" s="7" t="inlineStr">
        <is>
          <t>Source Group (eq/ma/sv)</t>
        </is>
      </c>
      <c r="D105" s="7" t="inlineStr">
        <is>
          <t>enum</t>
        </is>
      </c>
      <c r="E105" s="7" t="inlineStr">
        <is>
          <t>eq</t>
        </is>
      </c>
      <c r="F105" s="7" t="inlineStr">
        <is>
          <t>B, X</t>
        </is>
      </c>
      <c r="G105" s="7" t="inlineStr">
        <is>
          <t>Bundle grouping, Excel</t>
        </is>
      </c>
      <c r="H105" s="7" t="inlineStr">
        <is>
          <t>Group headers</t>
        </is>
      </c>
      <c r="I105" s="12" t="inlineStr">
        <is>
          <t>BUNDLE</t>
        </is>
      </c>
      <c r="J105" s="7" t="inlineStr">
        <is>
          <t>Implicit from which catalog list</t>
        </is>
      </c>
      <c r="K105" s="7" t="inlineStr">
        <is>
          <t>Drives Equipment/Materials/Services split</t>
        </is>
      </c>
      <c r="L105" s="7" t="inlineStr">
        <is>
          <t>Required</t>
        </is>
      </c>
      <c r="M105" s="7" t="inlineStr">
        <is>
          <t>Yes — source_group</t>
        </is>
      </c>
    </row>
    <row r="106">
      <c r="A106" s="7" t="inlineStr">
        <is>
          <t>I. Bundle / Line Items</t>
        </is>
      </c>
      <c r="B106" s="7" t="inlineStr">
        <is>
          <t>line_lead_time_days</t>
        </is>
      </c>
      <c r="C106" s="7" t="inlineStr">
        <is>
          <t>Lead Time (days)</t>
        </is>
      </c>
      <c r="D106" s="7" t="inlineStr">
        <is>
          <t>integer</t>
        </is>
      </c>
      <c r="E106" s="7" t="inlineStr">
        <is>
          <t>5</t>
        </is>
      </c>
      <c r="F106" s="7" t="inlineStr">
        <is>
          <t>B</t>
        </is>
      </c>
      <c r="G106" s="7" t="inlineStr">
        <is>
          <t>(internal scheduling)</t>
        </is>
      </c>
      <c r="H106" s="7" t="inlineStr">
        <is>
          <t>Procurement</t>
        </is>
      </c>
      <c r="I106" s="12" t="inlineStr">
        <is>
          <t>BUNDLE</t>
        </is>
      </c>
      <c r="J106" s="7" t="inlineStr">
        <is>
          <t>CATALOG[*].leadTimeDays</t>
        </is>
      </c>
      <c r="K106" s="7" t="inlineStr">
        <is>
          <t>—</t>
        </is>
      </c>
      <c r="L106" s="7" t="inlineStr">
        <is>
          <t>—</t>
        </is>
      </c>
      <c r="M106" s="7" t="inlineStr">
        <is>
          <t>No</t>
        </is>
      </c>
    </row>
    <row r="107">
      <c r="A107" s="7" t="inlineStr">
        <is>
          <t>I. Bundle / Line Items</t>
        </is>
      </c>
      <c r="B107" s="7" t="inlineStr">
        <is>
          <t>line_notes</t>
        </is>
      </c>
      <c r="C107" s="7" t="inlineStr">
        <is>
          <t>Per-Line Notes</t>
        </is>
      </c>
      <c r="D107" s="7" t="inlineStr">
        <is>
          <t>string</t>
        </is>
      </c>
      <c r="E107" s="7" t="inlineStr">
        <is>
          <t>OFCI — GCC installs only</t>
        </is>
      </c>
      <c r="F107" s="7" t="inlineStr">
        <is>
          <t>B</t>
        </is>
      </c>
      <c r="G107" s="7" t="inlineStr">
        <is>
          <t>Bundle notes</t>
        </is>
      </c>
      <c r="H107" s="7" t="inlineStr">
        <is>
          <t>Line Items</t>
        </is>
      </c>
      <c r="I107" s="12" t="inlineStr">
        <is>
          <t>BUNDLE</t>
        </is>
      </c>
      <c r="J107" s="7" t="inlineStr">
        <is>
          <t>CATALOG[*].notes</t>
        </is>
      </c>
      <c r="K107" s="7" t="inlineStr">
        <is>
          <t>—</t>
        </is>
      </c>
      <c r="L107" s="7" t="inlineStr">
        <is>
          <t>—</t>
        </is>
      </c>
      <c r="M107" s="7" t="inlineStr">
        <is>
          <t>No</t>
        </is>
      </c>
    </row>
    <row r="108">
      <c r="A108" s="7" t="inlineStr">
        <is>
          <t>I. Bundle / Line Items</t>
        </is>
      </c>
      <c r="B108" s="7" t="inlineStr">
        <is>
          <t>line_active_flag</t>
        </is>
      </c>
      <c r="C108" s="7" t="inlineStr">
        <is>
          <t>Active in Catalog</t>
        </is>
      </c>
      <c r="D108" s="7" t="inlineStr">
        <is>
          <t>boolean</t>
        </is>
      </c>
      <c r="E108" s="7" t="inlineStr">
        <is>
          <t>TRUE</t>
        </is>
      </c>
      <c r="F108" s="7" t="inlineStr">
        <is>
          <t>B</t>
        </is>
      </c>
      <c r="G108" s="7" t="inlineStr">
        <is>
          <t>Catalog filter (hide inactive)</t>
        </is>
      </c>
      <c r="H108" s="7" t="inlineStr">
        <is>
          <t>—</t>
        </is>
      </c>
      <c r="I108" s="12" t="inlineStr">
        <is>
          <t>BUNDLE</t>
        </is>
      </c>
      <c r="J108" s="7" t="inlineStr">
        <is>
          <t>CATALOG[*].active</t>
        </is>
      </c>
      <c r="K108" s="7" t="inlineStr">
        <is>
          <t>—</t>
        </is>
      </c>
      <c r="L108" s="7" t="inlineStr">
        <is>
          <t>Only active lines addable</t>
        </is>
      </c>
      <c r="M108" s="7" t="inlineStr">
        <is>
          <t>Yes — Y/N</t>
        </is>
      </c>
    </row>
    <row r="109">
      <c r="A109" s="7" t="inlineStr">
        <is>
          <t>I. Bundle / Line Items</t>
        </is>
      </c>
      <c r="B109" s="7" t="inlineStr">
        <is>
          <t>tax_pct</t>
        </is>
      </c>
      <c r="C109" s="7" t="inlineStr">
        <is>
          <t>Tax Rate</t>
        </is>
      </c>
      <c r="D109" s="7" t="inlineStr">
        <is>
          <t>percent</t>
        </is>
      </c>
      <c r="E109" s="7" t="inlineStr">
        <is>
          <t>0.0897</t>
        </is>
      </c>
      <c r="F109" s="7" t="inlineStr">
        <is>
          <t>B, X</t>
        </is>
      </c>
      <c r="G109" s="7" t="inlineStr">
        <is>
          <t>Bundle totals, Excel Summary</t>
        </is>
      </c>
      <c r="H109" s="7" t="inlineStr">
        <is>
          <t>Totals bar</t>
        </is>
      </c>
      <c r="I109" s="8" t="inlineStr">
        <is>
          <t>MINI-CALC</t>
        </is>
      </c>
      <c r="J109" s="7" t="inlineStr">
        <is>
          <t>Tax % field</t>
        </is>
      </c>
      <c r="K109" s="7" t="inlineStr">
        <is>
          <t>Defaults to 0 if not collected</t>
        </is>
      </c>
      <c r="L109" s="7" t="inlineStr">
        <is>
          <t>0 ≤ x &lt; 0.30</t>
        </is>
      </c>
      <c r="M109" s="7" t="inlineStr">
        <is>
          <t>No</t>
        </is>
      </c>
    </row>
    <row r="110">
      <c r="A110" s="7" t="inlineStr">
        <is>
          <t>I. Bundle / Line Items</t>
        </is>
      </c>
      <c r="B110" s="7" t="inlineStr">
        <is>
          <t>subtotal</t>
        </is>
      </c>
      <c r="C110" s="7" t="inlineStr">
        <is>
          <t>Bundle Subtotal (non-labor)</t>
        </is>
      </c>
      <c r="D110" s="7" t="inlineStr">
        <is>
          <t>currency USD</t>
        </is>
      </c>
      <c r="E110" s="7" t="inlineStr">
        <is>
          <t>39100.00</t>
        </is>
      </c>
      <c r="F110" s="7" t="inlineStr">
        <is>
          <t>B, X</t>
        </is>
      </c>
      <c r="G110" s="7" t="inlineStr">
        <is>
          <t>Bundle, Excel</t>
        </is>
      </c>
      <c r="H110" s="7" t="inlineStr">
        <is>
          <t>Totals</t>
        </is>
      </c>
      <c r="I110" s="10" t="inlineStr">
        <is>
          <t>COMPUTED</t>
        </is>
      </c>
      <c r="J110" s="7" t="inlineStr">
        <is>
          <t>SUM of non-service line_extended</t>
        </is>
      </c>
      <c r="K110" s="7" t="inlineStr">
        <is>
          <t>—</t>
        </is>
      </c>
      <c r="L110" s="7" t="inlineStr">
        <is>
          <t>—</t>
        </is>
      </c>
      <c r="M110" s="7" t="inlineStr">
        <is>
          <t>No</t>
        </is>
      </c>
    </row>
    <row r="111">
      <c r="A111" s="7" t="inlineStr">
        <is>
          <t>I. Bundle / Line Items</t>
        </is>
      </c>
      <c r="B111" s="7" t="inlineStr">
        <is>
          <t>labor_subtotal</t>
        </is>
      </c>
      <c r="C111" s="7" t="inlineStr">
        <is>
          <t>Labor Subtotal (Services)</t>
        </is>
      </c>
      <c r="D111" s="7" t="inlineStr">
        <is>
          <t>currency USD</t>
        </is>
      </c>
      <c r="E111" s="7" t="inlineStr">
        <is>
          <t>3500.00</t>
        </is>
      </c>
      <c r="F111" s="7" t="inlineStr">
        <is>
          <t>B, X</t>
        </is>
      </c>
      <c r="G111" s="7" t="inlineStr">
        <is>
          <t>Bundle, Excel</t>
        </is>
      </c>
      <c r="H111" s="7" t="inlineStr">
        <is>
          <t>Totals</t>
        </is>
      </c>
      <c r="I111" s="10" t="inlineStr">
        <is>
          <t>COMPUTED</t>
        </is>
      </c>
      <c r="J111" s="7" t="inlineStr">
        <is>
          <t>SUM of service line_extended</t>
        </is>
      </c>
      <c r="K111" s="7" t="inlineStr">
        <is>
          <t>—</t>
        </is>
      </c>
      <c r="L111" s="7" t="inlineStr">
        <is>
          <t>—</t>
        </is>
      </c>
      <c r="M111" s="7" t="inlineStr">
        <is>
          <t>No</t>
        </is>
      </c>
    </row>
    <row r="112">
      <c r="A112" s="7" t="inlineStr">
        <is>
          <t>I. Bundle / Line Items</t>
        </is>
      </c>
      <c r="B112" s="7" t="inlineStr">
        <is>
          <t>tax_amount</t>
        </is>
      </c>
      <c r="C112" s="7" t="inlineStr">
        <is>
          <t>Tax $ Amount</t>
        </is>
      </c>
      <c r="D112" s="7" t="inlineStr">
        <is>
          <t>currency USD</t>
        </is>
      </c>
      <c r="E112" s="7" t="inlineStr">
        <is>
          <t>3823.27</t>
        </is>
      </c>
      <c r="F112" s="7" t="inlineStr">
        <is>
          <t>B, X</t>
        </is>
      </c>
      <c r="G112" s="7" t="inlineStr">
        <is>
          <t>Bundle, Excel</t>
        </is>
      </c>
      <c r="H112" s="7" t="inlineStr">
        <is>
          <t>Totals</t>
        </is>
      </c>
      <c r="I112" s="10" t="inlineStr">
        <is>
          <t>COMPUTED</t>
        </is>
      </c>
      <c r="J112" s="7" t="inlineStr">
        <is>
          <t>(subtotal + labor_subtotal) × tax_pct</t>
        </is>
      </c>
      <c r="K112" s="7" t="inlineStr">
        <is>
          <t>—</t>
        </is>
      </c>
      <c r="L112" s="7" t="inlineStr">
        <is>
          <t>—</t>
        </is>
      </c>
      <c r="M112" s="7" t="inlineStr">
        <is>
          <t>No</t>
        </is>
      </c>
    </row>
    <row r="113">
      <c r="A113" s="7" t="inlineStr">
        <is>
          <t>I. Bundle / Line Items</t>
        </is>
      </c>
      <c r="B113" s="7" t="inlineStr">
        <is>
          <t>grand_total</t>
        </is>
      </c>
      <c r="C113" s="7" t="inlineStr">
        <is>
          <t>Grand Total</t>
        </is>
      </c>
      <c r="D113" s="7" t="inlineStr">
        <is>
          <t>currency USD</t>
        </is>
      </c>
      <c r="E113" s="7" t="inlineStr">
        <is>
          <t>46423.27</t>
        </is>
      </c>
      <c r="F113" s="7" t="inlineStr">
        <is>
          <t>B, X</t>
        </is>
      </c>
      <c r="G113" s="7" t="inlineStr">
        <is>
          <t>Bundle, Excel</t>
        </is>
      </c>
      <c r="H113" s="7" t="inlineStr">
        <is>
          <t>Totals</t>
        </is>
      </c>
      <c r="I113" s="10" t="inlineStr">
        <is>
          <t>COMPUTED</t>
        </is>
      </c>
      <c r="J113" s="7" t="inlineStr">
        <is>
          <t>subtotal + labor_subtotal + tax_amount</t>
        </is>
      </c>
      <c r="K113" s="7" t="inlineStr">
        <is>
          <t>Feeds base_bid_amount/total_price</t>
        </is>
      </c>
      <c r="L113" s="7" t="inlineStr">
        <is>
          <t>—</t>
        </is>
      </c>
      <c r="M113" s="7" t="inlineStr">
        <is>
          <t>No</t>
        </is>
      </c>
    </row>
    <row r="114">
      <c r="A114" s="7" t="inlineStr">
        <is>
          <t>I. Bundle / Line Items</t>
        </is>
      </c>
      <c r="B114" s="7" t="inlineStr">
        <is>
          <t>scope_notes</t>
        </is>
      </c>
      <c r="C114" s="7" t="inlineStr">
        <is>
          <t>Bundle Scope Notes (free text)</t>
        </is>
      </c>
      <c r="D114" s="7" t="inlineStr">
        <is>
          <t>string (multiline)</t>
        </is>
      </c>
      <c r="E114" s="7" t="inlineStr">
        <is>
          <t>Per RFP MC-2027-014; assumes J-hook pathway reuse</t>
        </is>
      </c>
      <c r="F114" s="7" t="inlineStr">
        <is>
          <t>B, X</t>
        </is>
      </c>
      <c r="G114" s="7" t="inlineStr">
        <is>
          <t>Bundle proposal view, Excel Summary</t>
        </is>
      </c>
      <c r="H114" s="7" t="inlineStr">
        <is>
          <t>Scope block</t>
        </is>
      </c>
      <c r="I114" s="8" t="inlineStr">
        <is>
          <t>MINI-CALC</t>
        </is>
      </c>
      <c r="J114" s="7" t="inlineStr">
        <is>
          <t>Scope textarea</t>
        </is>
      </c>
      <c r="K114" s="7" t="inlineStr">
        <is>
          <t>—</t>
        </is>
      </c>
      <c r="L114" s="7" t="inlineStr">
        <is>
          <t>—</t>
        </is>
      </c>
      <c r="M114" s="7" t="inlineStr">
        <is>
          <t>No</t>
        </is>
      </c>
    </row>
    <row r="115">
      <c r="A115" s="5" t="inlineStr">
        <is>
          <t>J. Company</t>
        </is>
      </c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>
      <c r="A116" s="7" t="inlineStr">
        <is>
          <t>J. Company</t>
        </is>
      </c>
      <c r="B116" s="7" t="inlineStr">
        <is>
          <t>company_name</t>
        </is>
      </c>
      <c r="C116" s="7" t="inlineStr">
        <is>
          <t>GCC LLC</t>
        </is>
      </c>
      <c r="D116" s="7" t="inlineStr">
        <is>
          <t>string</t>
        </is>
      </c>
      <c r="E116" s="7" t="inlineStr">
        <is>
          <t>GCC LLC</t>
        </is>
      </c>
      <c r="F116" s="7" t="inlineStr">
        <is>
          <t>G, O, R, B</t>
        </is>
      </c>
      <c r="G116" s="7" t="inlineStr">
        <is>
          <t>All</t>
        </is>
      </c>
      <c r="H116" s="7" t="inlineStr">
        <is>
          <t>Header + footer</t>
        </is>
      </c>
      <c r="I116" s="13" t="inlineStr">
        <is>
          <t>BOILERPLATE</t>
        </is>
      </c>
      <c r="J116" s="7" t="inlineStr">
        <is>
          <t>components/company-overview.md</t>
        </is>
      </c>
      <c r="K116" s="7" t="inlineStr">
        <is>
          <t>Static</t>
        </is>
      </c>
      <c r="L116" s="7" t="inlineStr">
        <is>
          <t>—</t>
        </is>
      </c>
      <c r="M116" s="7" t="inlineStr">
        <is>
          <t>No</t>
        </is>
      </c>
    </row>
    <row r="117">
      <c r="A117" s="7" t="inlineStr">
        <is>
          <t>J. Company</t>
        </is>
      </c>
      <c r="B117" s="7" t="inlineStr">
        <is>
          <t>company_address</t>
        </is>
      </c>
      <c r="C117" s="7" t="inlineStr">
        <is>
          <t>GCC Mailing Address</t>
        </is>
      </c>
      <c r="D117" s="7" t="inlineStr">
        <is>
          <t>string</t>
        </is>
      </c>
      <c r="E117" s="7" t="inlineStr">
        <is>
          <t>603 Seib Dr, O'Fallon, MO 63366</t>
        </is>
      </c>
      <c r="F117" s="7" t="inlineStr">
        <is>
          <t>G, O, R</t>
        </is>
      </c>
      <c r="G117" s="7" t="inlineStr">
        <is>
          <t>All</t>
        </is>
      </c>
      <c r="H117" s="7" t="inlineStr">
        <is>
          <t>Header/footer</t>
        </is>
      </c>
      <c r="I117" s="13" t="inlineStr">
        <is>
          <t>BOILERPLATE</t>
        </is>
      </c>
      <c r="J117" s="7" t="inlineStr">
        <is>
          <t>components/company-overview.md</t>
        </is>
      </c>
      <c r="K117" s="7" t="inlineStr">
        <is>
          <t>Static</t>
        </is>
      </c>
      <c r="L117" s="7" t="inlineStr">
        <is>
          <t>—</t>
        </is>
      </c>
      <c r="M117" s="7" t="inlineStr">
        <is>
          <t>No</t>
        </is>
      </c>
    </row>
    <row r="118">
      <c r="A118" s="7" t="inlineStr">
        <is>
          <t>J. Company</t>
        </is>
      </c>
      <c r="B118" s="7" t="inlineStr">
        <is>
          <t>company_phone</t>
        </is>
      </c>
      <c r="C118" s="7" t="inlineStr">
        <is>
          <t>GCC Main Phone</t>
        </is>
      </c>
      <c r="D118" s="7" t="inlineStr">
        <is>
          <t>phone</t>
        </is>
      </c>
      <c r="E118" s="7" t="inlineStr">
        <is>
          <t>(636) 224-8192</t>
        </is>
      </c>
      <c r="F118" s="7" t="inlineStr">
        <is>
          <t>G, O, R</t>
        </is>
      </c>
      <c r="G118" s="7" t="inlineStr">
        <is>
          <t>All</t>
        </is>
      </c>
      <c r="H118" s="7" t="inlineStr">
        <is>
          <t>Signature + footer</t>
        </is>
      </c>
      <c r="I118" s="13" t="inlineStr">
        <is>
          <t>BOILERPLATE</t>
        </is>
      </c>
      <c r="J118" s="7" t="inlineStr">
        <is>
          <t>components/company-overview.md</t>
        </is>
      </c>
      <c r="K118" s="7" t="inlineStr">
        <is>
          <t>Static</t>
        </is>
      </c>
      <c r="L118" s="7" t="inlineStr">
        <is>
          <t>—</t>
        </is>
      </c>
      <c r="M118" s="7" t="inlineStr">
        <is>
          <t>No</t>
        </is>
      </c>
    </row>
    <row r="119">
      <c r="A119" s="7" t="inlineStr">
        <is>
          <t>J. Company</t>
        </is>
      </c>
      <c r="B119" s="7" t="inlineStr">
        <is>
          <t>company_email</t>
        </is>
      </c>
      <c r="C119" s="7" t="inlineStr">
        <is>
          <t>GCC General Email</t>
        </is>
      </c>
      <c r="D119" s="7" t="inlineStr">
        <is>
          <t>email</t>
        </is>
      </c>
      <c r="E119" s="7" t="inlineStr">
        <is>
          <t>corporate@greencommllc.com</t>
        </is>
      </c>
      <c r="F119" s="7" t="inlineStr">
        <is>
          <t>G, O, R</t>
        </is>
      </c>
      <c r="G119" s="7" t="inlineStr">
        <is>
          <t>All</t>
        </is>
      </c>
      <c r="H119" s="7" t="inlineStr">
        <is>
          <t>Signature + footer</t>
        </is>
      </c>
      <c r="I119" s="13" t="inlineStr">
        <is>
          <t>BOILERPLATE</t>
        </is>
      </c>
      <c r="J119" s="7" t="inlineStr">
        <is>
          <t>components/company-overview.md</t>
        </is>
      </c>
      <c r="K119" s="7" t="inlineStr">
        <is>
          <t>Static</t>
        </is>
      </c>
      <c r="L119" s="7" t="inlineStr">
        <is>
          <t>—</t>
        </is>
      </c>
      <c r="M119" s="7" t="inlineStr">
        <is>
          <t>No</t>
        </is>
      </c>
    </row>
    <row r="120">
      <c r="A120" s="7" t="inlineStr">
        <is>
          <t>J. Company</t>
        </is>
      </c>
      <c r="B120" s="7" t="inlineStr">
        <is>
          <t>company_website</t>
        </is>
      </c>
      <c r="C120" s="7" t="inlineStr">
        <is>
          <t>GCC Website</t>
        </is>
      </c>
      <c r="D120" s="7" t="inlineStr">
        <is>
          <t>URL</t>
        </is>
      </c>
      <c r="E120" s="7" t="inlineStr">
        <is>
          <t>greencommllc.com</t>
        </is>
      </c>
      <c r="F120" s="7" t="inlineStr">
        <is>
          <t>G, O, R</t>
        </is>
      </c>
      <c r="G120" s="7" t="inlineStr">
        <is>
          <t>All</t>
        </is>
      </c>
      <c r="H120" s="7" t="inlineStr">
        <is>
          <t>Footer</t>
        </is>
      </c>
      <c r="I120" s="13" t="inlineStr">
        <is>
          <t>BOILERPLATE</t>
        </is>
      </c>
      <c r="J120" s="7" t="inlineStr">
        <is>
          <t>components/company-overview.md</t>
        </is>
      </c>
      <c r="K120" s="7" t="inlineStr">
        <is>
          <t>Static</t>
        </is>
      </c>
      <c r="L120" s="7" t="inlineStr">
        <is>
          <t>—</t>
        </is>
      </c>
      <c r="M120" s="7" t="inlineStr">
        <is>
          <t>No</t>
        </is>
      </c>
    </row>
    <row r="121">
      <c r="A121" s="7" t="inlineStr">
        <is>
          <t>J. Company</t>
        </is>
      </c>
      <c r="B121" s="7" t="inlineStr">
        <is>
          <t>company_overline</t>
        </is>
      </c>
      <c r="C121" s="7" t="inlineStr">
        <is>
          <t>Company Tagline / Overline</t>
        </is>
      </c>
      <c r="D121" s="7" t="inlineStr">
        <is>
          <t>string</t>
        </is>
      </c>
      <c r="E121" s="7" t="inlineStr">
        <is>
          <t>Division 27 / 28 Low-Voltage Contractor · KCMO &amp; STL · Licensed &amp; Insured</t>
        </is>
      </c>
      <c r="F121" s="7" t="inlineStr">
        <is>
          <t>G, O, R</t>
        </is>
      </c>
      <c r="G121" s="7" t="inlineStr">
        <is>
          <t>All</t>
        </is>
      </c>
      <c r="H121" s="7" t="inlineStr">
        <is>
          <t>Header</t>
        </is>
      </c>
      <c r="I121" s="13" t="inlineStr">
        <is>
          <t>BOILERPLATE</t>
        </is>
      </c>
      <c r="J121" s="7" t="inlineStr">
        <is>
          <t>components/company-overview.md</t>
        </is>
      </c>
      <c r="K121" s="7" t="inlineStr">
        <is>
          <t>Static</t>
        </is>
      </c>
      <c r="L121" s="7" t="inlineStr">
        <is>
          <t>—</t>
        </is>
      </c>
      <c r="M121" s="7" t="inlineStr">
        <is>
          <t>No</t>
        </is>
      </c>
    </row>
    <row r="122">
      <c r="A122" s="7" t="inlineStr">
        <is>
          <t>J. Company</t>
        </is>
      </c>
      <c r="B122" s="7" t="inlineStr">
        <is>
          <t>company_overview_long</t>
        </is>
      </c>
      <c r="C122" s="7" t="inlineStr">
        <is>
          <t>Company Overview — long form (~150w)</t>
        </is>
      </c>
      <c r="D122" s="7" t="inlineStr">
        <is>
          <t>paragraph block</t>
        </is>
      </c>
      <c r="E122" s="7" t="inlineStr">
        <is>
          <t>(pulled verbatim)</t>
        </is>
      </c>
      <c r="F122" s="7" t="inlineStr">
        <is>
          <t>G, O</t>
        </is>
      </c>
      <c r="G122" s="7" t="inlineStr">
        <is>
          <t>GC §04, Owner §03</t>
        </is>
      </c>
      <c r="H122" s="7" t="inlineStr">
        <is>
          <t>About section</t>
        </is>
      </c>
      <c r="I122" s="13" t="inlineStr">
        <is>
          <t>BOILERPLATE</t>
        </is>
      </c>
      <c r="J122" s="7" t="inlineStr">
        <is>
          <t>components/company-overview.md §'Long form'</t>
        </is>
      </c>
      <c r="K122" s="7" t="inlineStr">
        <is>
          <t>Static</t>
        </is>
      </c>
      <c r="L122" s="7" t="inlineStr">
        <is>
          <t>—</t>
        </is>
      </c>
      <c r="M122" s="7" t="inlineStr">
        <is>
          <t>No</t>
        </is>
      </c>
    </row>
    <row r="123">
      <c r="A123" s="7" t="inlineStr">
        <is>
          <t>J. Company</t>
        </is>
      </c>
      <c r="B123" s="7" t="inlineStr">
        <is>
          <t>company_overview_short</t>
        </is>
      </c>
      <c r="C123" s="7" t="inlineStr">
        <is>
          <t>Company Overview — short form (~60w)</t>
        </is>
      </c>
      <c r="D123" s="7" t="inlineStr">
        <is>
          <t>paragraph block</t>
        </is>
      </c>
      <c r="E123" s="7" t="inlineStr">
        <is>
          <t>(pulled verbatim)</t>
        </is>
      </c>
      <c r="F123" s="7" t="inlineStr">
        <is>
          <t>R</t>
        </is>
      </c>
      <c r="G123" s="7" t="inlineStr">
        <is>
          <t>Res §03</t>
        </is>
      </c>
      <c r="H123" s="7" t="inlineStr">
        <is>
          <t>Who's Working On Your Home</t>
        </is>
      </c>
      <c r="I123" s="13" t="inlineStr">
        <is>
          <t>BOILERPLATE</t>
        </is>
      </c>
      <c r="J123" s="7" t="inlineStr">
        <is>
          <t>components/company-overview.md §'Short form'</t>
        </is>
      </c>
      <c r="K123" s="7" t="inlineStr">
        <is>
          <t>Static</t>
        </is>
      </c>
      <c r="L123" s="7" t="inlineStr">
        <is>
          <t>—</t>
        </is>
      </c>
      <c r="M123" s="7" t="inlineStr">
        <is>
          <t>No</t>
        </is>
      </c>
    </row>
    <row r="124">
      <c r="A124" s="7" t="inlineStr">
        <is>
          <t>J. Company</t>
        </is>
      </c>
      <c r="B124" s="7" t="inlineStr">
        <is>
          <t>kaitlyn_signature_block</t>
        </is>
      </c>
      <c r="C124" s="7" t="inlineStr">
        <is>
          <t>Kaitlyn Signature Block</t>
        </is>
      </c>
      <c r="D124" s="7" t="inlineStr">
        <is>
          <t>block</t>
        </is>
      </c>
      <c r="E124" s="7" t="inlineStr">
        <is>
          <t>Kaitlyn Lim Morris / President &amp; CEO / GCC LLC / (636) 224-8192</t>
        </is>
      </c>
      <c r="F124" s="7" t="inlineStr">
        <is>
          <t>G, O, R</t>
        </is>
      </c>
      <c r="G124" s="7" t="inlineStr">
        <is>
          <t>All</t>
        </is>
      </c>
      <c r="H124" s="7" t="inlineStr">
        <is>
          <t>Cover letter close + acceptance</t>
        </is>
      </c>
      <c r="I124" s="13" t="inlineStr">
        <is>
          <t>BOILERPLATE</t>
        </is>
      </c>
      <c r="J124" s="7" t="inlineStr">
        <is>
          <t>components/team-and-leadership.md §'Signature convention'</t>
        </is>
      </c>
      <c r="K124" s="7" t="inlineStr">
        <is>
          <t>Static</t>
        </is>
      </c>
      <c r="L124" s="7" t="inlineStr">
        <is>
          <t>—</t>
        </is>
      </c>
      <c r="M124" s="7" t="inlineStr">
        <is>
          <t>No</t>
        </is>
      </c>
    </row>
    <row r="125">
      <c r="A125" s="7" t="inlineStr">
        <is>
          <t>J. Company</t>
        </is>
      </c>
      <c r="B125" s="7" t="inlineStr">
        <is>
          <t>leadership_team_bios</t>
        </is>
      </c>
      <c r="C125" s="7" t="inlineStr">
        <is>
          <t>Executive Team Bios (4)</t>
        </is>
      </c>
      <c r="D125" s="7" t="inlineStr">
        <is>
          <t>block</t>
        </is>
      </c>
      <c r="E125" s="7" t="inlineStr">
        <is>
          <t>(Kaitlyn / Nathan / Dustin / Taylor paragraphs)</t>
        </is>
      </c>
      <c r="F125" s="7" t="inlineStr">
        <is>
          <t>G, O</t>
        </is>
      </c>
      <c r="G125" s="7" t="inlineStr">
        <is>
          <t>GC §05, Owner §03</t>
        </is>
      </c>
      <c r="H125" s="7" t="inlineStr">
        <is>
          <t>Qualifications / Who you're working with</t>
        </is>
      </c>
      <c r="I125" s="13" t="inlineStr">
        <is>
          <t>BOILERPLATE</t>
        </is>
      </c>
      <c r="J125" s="7" t="inlineStr">
        <is>
          <t>components/team-and-leadership.md §'Executive team'</t>
        </is>
      </c>
      <c r="K125" s="7" t="inlineStr">
        <is>
          <t>Static — updates only on hire/change</t>
        </is>
      </c>
      <c r="L125" s="7" t="inlineStr">
        <is>
          <t>—</t>
        </is>
      </c>
      <c r="M125" s="7" t="inlineStr">
        <is>
          <t>No</t>
        </is>
      </c>
    </row>
    <row r="126">
      <c r="A126" s="7" t="inlineStr">
        <is>
          <t>J. Company</t>
        </is>
      </c>
      <c r="B126" s="7" t="inlineStr">
        <is>
          <t>differentiators_4_bullets</t>
        </is>
      </c>
      <c r="C126" s="7" t="inlineStr">
        <is>
          <t>The 4 GCC Differentiators (gold-dot bullets)</t>
        </is>
      </c>
      <c r="D126" s="7" t="inlineStr">
        <is>
          <t>block — 4 lines</t>
        </is>
      </c>
      <c r="E126" s="7" t="inlineStr">
        <is>
          <t>(pulled verbatim, never reordered)</t>
        </is>
      </c>
      <c r="F126" s="7" t="inlineStr">
        <is>
          <t>G, O, R</t>
        </is>
      </c>
      <c r="G126" s="7" t="inlineStr">
        <is>
          <t>All</t>
        </is>
      </c>
      <c r="H126" s="7" t="inlineStr">
        <is>
          <t>Cover letter + bid overview + footer</t>
        </is>
      </c>
      <c r="I126" s="13" t="inlineStr">
        <is>
          <t>BOILERPLATE</t>
        </is>
      </c>
      <c r="J126" s="7" t="inlineStr">
        <is>
          <t>components/differentiators.md</t>
        </is>
      </c>
      <c r="K126" s="7" t="inlineStr">
        <is>
          <t>Static — word-for-word (hard-rule)</t>
        </is>
      </c>
      <c r="L126" s="7" t="inlineStr">
        <is>
          <t>Never paraphrased</t>
        </is>
      </c>
      <c r="M126" s="7" t="inlineStr">
        <is>
          <t>No</t>
        </is>
      </c>
    </row>
    <row r="127">
      <c r="A127" s="7" t="inlineStr">
        <is>
          <t>J. Company</t>
        </is>
      </c>
      <c r="B127" s="7" t="inlineStr">
        <is>
          <t>lifetime_warranty_hero</t>
        </is>
      </c>
      <c r="C127" s="7" t="inlineStr">
        <is>
          <t>Lifetime Workmanship Hero Callout</t>
        </is>
      </c>
      <c r="D127" s="7" t="inlineStr">
        <is>
          <t>block</t>
        </is>
      </c>
      <c r="E127" s="7" t="inlineStr">
        <is>
          <t>LIFETIME WORKMANSHIP — TRANSFERS WITH THE PROPERTY + sub-copy</t>
        </is>
      </c>
      <c r="F127" s="7" t="inlineStr">
        <is>
          <t>G, O, R</t>
        </is>
      </c>
      <c r="G127" s="7" t="inlineStr">
        <is>
          <t>All §06 Warranty</t>
        </is>
      </c>
      <c r="H127" s="7" t="inlineStr">
        <is>
          <t>Hero callout</t>
        </is>
      </c>
      <c r="I127" s="13" t="inlineStr">
        <is>
          <t>BOILERPLATE</t>
        </is>
      </c>
      <c r="J127" s="7" t="inlineStr">
        <is>
          <t>components/differentiators.md §'Hero callout'</t>
        </is>
      </c>
      <c r="K127" s="7" t="inlineStr">
        <is>
          <t>Static</t>
        </is>
      </c>
      <c r="L127" s="7" t="inlineStr">
        <is>
          <t>—</t>
        </is>
      </c>
      <c r="M127" s="7" t="inlineStr">
        <is>
          <t>No</t>
        </is>
      </c>
    </row>
    <row r="128">
      <c r="A128" s="7" t="inlineStr">
        <is>
          <t>J. Company</t>
        </is>
      </c>
      <c r="B128" s="7" t="inlineStr">
        <is>
          <t>crew_field_standards</t>
        </is>
      </c>
      <c r="C128" s="7" t="inlineStr">
        <is>
          <t>Two-Person Minimum + Crew Standards</t>
        </is>
      </c>
      <c r="D128" s="7" t="inlineStr">
        <is>
          <t>paragraph</t>
        </is>
      </c>
      <c r="E128" s="7" t="inlineStr">
        <is>
          <t>Two-person minimum, BICSI-certified available, OSHA 10/30, ICRA 3/4</t>
        </is>
      </c>
      <c r="F128" s="7" t="inlineStr">
        <is>
          <t>G, O</t>
        </is>
      </c>
      <c r="G128" s="7" t="inlineStr">
        <is>
          <t>GC §07 PM, Owner §05</t>
        </is>
      </c>
      <c r="H128" s="7" t="inlineStr">
        <is>
          <t>Project Management</t>
        </is>
      </c>
      <c r="I128" s="13" t="inlineStr">
        <is>
          <t>BOILERPLATE</t>
        </is>
      </c>
      <c r="J128" s="7" t="inlineStr">
        <is>
          <t>components/team-and-leadership.md §'Crew &amp; field standards'</t>
        </is>
      </c>
      <c r="K128" s="7" t="inlineStr">
        <is>
          <t>Static</t>
        </is>
      </c>
      <c r="L128" s="7" t="inlineStr">
        <is>
          <t>—</t>
        </is>
      </c>
      <c r="M128" s="7" t="inlineStr">
        <is>
          <t>No</t>
        </is>
      </c>
    </row>
    <row r="129">
      <c r="A129" s="5" t="inlineStr">
        <is>
          <t>K. Compliance</t>
        </is>
      </c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>
      <c r="A130" s="7" t="inlineStr">
        <is>
          <t>K. Compliance</t>
        </is>
      </c>
      <c r="B130" s="7" t="inlineStr">
        <is>
          <t>insurance_commercial_table</t>
        </is>
      </c>
      <c r="C130" s="7" t="inlineStr">
        <is>
          <t>Insurance Table (Commercial)</t>
        </is>
      </c>
      <c r="D130" s="7" t="inlineStr">
        <is>
          <t>table block</t>
        </is>
      </c>
      <c r="E130" s="7" t="inlineStr">
        <is>
          <t>(7-row carrier/limit table)</t>
        </is>
      </c>
      <c r="F130" s="7" t="inlineStr">
        <is>
          <t>G, O</t>
        </is>
      </c>
      <c r="G130" s="7" t="inlineStr">
        <is>
          <t>GC §05, Owner §03</t>
        </is>
      </c>
      <c r="H130" s="7" t="inlineStr">
        <is>
          <t>Insurance &amp; Bonding</t>
        </is>
      </c>
      <c r="I130" s="13" t="inlineStr">
        <is>
          <t>BOILERPLATE</t>
        </is>
      </c>
      <c r="J130" s="7" t="inlineStr">
        <is>
          <t>components/insurance-and-bonding.md §'Commercial table'</t>
        </is>
      </c>
      <c r="K130" s="7" t="inlineStr">
        <is>
          <t>Pulled — annual renewal triggers update</t>
        </is>
      </c>
      <c r="L130" s="7" t="inlineStr">
        <is>
          <t>Policy number never shown to non-contract parties</t>
        </is>
      </c>
      <c r="M130" s="7" t="inlineStr">
        <is>
          <t>No</t>
        </is>
      </c>
    </row>
    <row r="131">
      <c r="A131" s="7" t="inlineStr">
        <is>
          <t>K. Compliance</t>
        </is>
      </c>
      <c r="B131" s="7" t="inlineStr">
        <is>
          <t>insurance_residential_paragraph</t>
        </is>
      </c>
      <c r="C131" s="7" t="inlineStr">
        <is>
          <t>Insurance Paragraph (Residential)</t>
        </is>
      </c>
      <c r="D131" s="7" t="inlineStr">
        <is>
          <t>paragraph</t>
        </is>
      </c>
      <c r="E131" s="7" t="inlineStr">
        <is>
          <t>(~50-word paragraph)</t>
        </is>
      </c>
      <c r="F131" s="7" t="inlineStr">
        <is>
          <t>R</t>
        </is>
      </c>
      <c r="G131" s="7" t="inlineStr">
        <is>
          <t>Res §03</t>
        </is>
      </c>
      <c r="H131" s="7" t="inlineStr">
        <is>
          <t>Who's Working On Your Home</t>
        </is>
      </c>
      <c r="I131" s="13" t="inlineStr">
        <is>
          <t>BOILERPLATE</t>
        </is>
      </c>
      <c r="J131" s="7" t="inlineStr">
        <is>
          <t>components/insurance-and-bonding.md §'Residential paragraph'</t>
        </is>
      </c>
      <c r="K131" s="7" t="inlineStr">
        <is>
          <t>Static</t>
        </is>
      </c>
      <c r="L131" s="7" t="inlineStr">
        <is>
          <t>—</t>
        </is>
      </c>
      <c r="M131" s="7" t="inlineStr">
        <is>
          <t>No</t>
        </is>
      </c>
    </row>
    <row r="132">
      <c r="A132" s="7" t="inlineStr">
        <is>
          <t>K. Compliance</t>
        </is>
      </c>
      <c r="B132" s="7" t="inlineStr">
        <is>
          <t>gl_limit_per_occurrence</t>
        </is>
      </c>
      <c r="C132" s="7" t="inlineStr">
        <is>
          <t>General Liability — per occurrence</t>
        </is>
      </c>
      <c r="D132" s="7" t="inlineStr">
        <is>
          <t>currency</t>
        </is>
      </c>
      <c r="E132" s="7" t="inlineStr">
        <is>
          <t>1000000</t>
        </is>
      </c>
      <c r="F132" s="7" t="inlineStr">
        <is>
          <t>G, O</t>
        </is>
      </c>
      <c r="G132" s="7" t="inlineStr">
        <is>
          <t>Insurance table</t>
        </is>
      </c>
      <c r="H132" s="7" t="inlineStr">
        <is>
          <t>Insurance</t>
        </is>
      </c>
      <c r="I132" s="13" t="inlineStr">
        <is>
          <t>BOILERPLATE</t>
        </is>
      </c>
      <c r="J132" s="7" t="inlineStr">
        <is>
          <t>components/insurance-and-bonding.md</t>
        </is>
      </c>
      <c r="K132" s="7" t="inlineStr">
        <is>
          <t>$1M</t>
        </is>
      </c>
      <c r="L132" s="7" t="inlineStr">
        <is>
          <t>Static</t>
        </is>
      </c>
      <c r="M132" s="7" t="inlineStr">
        <is>
          <t>No</t>
        </is>
      </c>
    </row>
    <row r="133">
      <c r="A133" s="7" t="inlineStr">
        <is>
          <t>K. Compliance</t>
        </is>
      </c>
      <c r="B133" s="7" t="inlineStr">
        <is>
          <t>gl_limit_aggregate</t>
        </is>
      </c>
      <c r="C133" s="7" t="inlineStr">
        <is>
          <t>General Liability — aggregate</t>
        </is>
      </c>
      <c r="D133" s="7" t="inlineStr">
        <is>
          <t>currency</t>
        </is>
      </c>
      <c r="E133" s="7" t="inlineStr">
        <is>
          <t>2000000</t>
        </is>
      </c>
      <c r="F133" s="7" t="inlineStr">
        <is>
          <t>G, O</t>
        </is>
      </c>
      <c r="G133" s="7" t="inlineStr">
        <is>
          <t>Insurance table</t>
        </is>
      </c>
      <c r="H133" s="7" t="inlineStr">
        <is>
          <t>Insurance</t>
        </is>
      </c>
      <c r="I133" s="13" t="inlineStr">
        <is>
          <t>BOILERPLATE</t>
        </is>
      </c>
      <c r="J133" s="7" t="inlineStr">
        <is>
          <t>components/insurance-and-bonding.md</t>
        </is>
      </c>
      <c r="K133" s="7" t="inlineStr">
        <is>
          <t>$2M</t>
        </is>
      </c>
      <c r="L133" s="7" t="inlineStr">
        <is>
          <t>Static</t>
        </is>
      </c>
      <c r="M133" s="7" t="inlineStr">
        <is>
          <t>No</t>
        </is>
      </c>
    </row>
    <row r="134">
      <c r="A134" s="7" t="inlineStr">
        <is>
          <t>K. Compliance</t>
        </is>
      </c>
      <c r="B134" s="7" t="inlineStr">
        <is>
          <t>wc_carrier</t>
        </is>
      </c>
      <c r="C134" s="7" t="inlineStr">
        <is>
          <t>Workers' Comp Carrier</t>
        </is>
      </c>
      <c r="D134" s="7" t="inlineStr">
        <is>
          <t>string</t>
        </is>
      </c>
      <c r="E134" s="7" t="inlineStr">
        <is>
          <t>AmGUARD Insurance (NAIC #42390)</t>
        </is>
      </c>
      <c r="F134" s="7" t="inlineStr">
        <is>
          <t>G, O</t>
        </is>
      </c>
      <c r="G134" s="7" t="inlineStr">
        <is>
          <t>Insurance table</t>
        </is>
      </c>
      <c r="H134" s="7" t="inlineStr">
        <is>
          <t>Insurance</t>
        </is>
      </c>
      <c r="I134" s="13" t="inlineStr">
        <is>
          <t>BOILERPLATE</t>
        </is>
      </c>
      <c r="J134" s="7" t="inlineStr">
        <is>
          <t>components/insurance-and-bonding.md</t>
        </is>
      </c>
      <c r="K134" s="7" t="inlineStr">
        <is>
          <t>—</t>
        </is>
      </c>
      <c r="L134" s="7" t="inlineStr">
        <is>
          <t>Static; update on renewal</t>
        </is>
      </c>
      <c r="M134" s="7" t="inlineStr">
        <is>
          <t>No</t>
        </is>
      </c>
    </row>
    <row r="135">
      <c r="A135" s="7" t="inlineStr">
        <is>
          <t>K. Compliance</t>
        </is>
      </c>
      <c r="B135" s="7" t="inlineStr">
        <is>
          <t>wc_policy_number</t>
        </is>
      </c>
      <c r="C135" s="7" t="inlineStr">
        <is>
          <t>WC Policy Number</t>
        </is>
      </c>
      <c r="D135" s="7" t="inlineStr">
        <is>
          <t>string</t>
        </is>
      </c>
      <c r="E135" s="7" t="inlineStr">
        <is>
          <t>GRWC763142</t>
        </is>
      </c>
      <c r="F135" s="7" t="inlineStr">
        <is>
          <t>G</t>
        </is>
      </c>
      <c r="G135" s="7" t="inlineStr">
        <is>
          <t>Insurance table</t>
        </is>
      </c>
      <c r="H135" s="7" t="inlineStr">
        <is>
          <t>Insurance (contract parties only)</t>
        </is>
      </c>
      <c r="I135" s="13" t="inlineStr">
        <is>
          <t>BOILERPLATE</t>
        </is>
      </c>
      <c r="J135" s="7" t="inlineStr">
        <is>
          <t>components/insurance-and-bonding.md</t>
        </is>
      </c>
      <c r="K135" s="7" t="inlineStr">
        <is>
          <t>Never to non-contract parties (rule)</t>
        </is>
      </c>
      <c r="L135" s="7" t="inlineStr">
        <is>
          <t>Static — annual renewal</t>
        </is>
      </c>
      <c r="M135" s="7" t="inlineStr">
        <is>
          <t>No</t>
        </is>
      </c>
    </row>
    <row r="136">
      <c r="A136" s="7" t="inlineStr">
        <is>
          <t>K. Compliance</t>
        </is>
      </c>
      <c r="B136" s="7" t="inlineStr">
        <is>
          <t>wc_period</t>
        </is>
      </c>
      <c r="C136" s="7" t="inlineStr">
        <is>
          <t>WC Coverage Period</t>
        </is>
      </c>
      <c r="D136" s="7" t="inlineStr">
        <is>
          <t>date range</t>
        </is>
      </c>
      <c r="E136" s="7" t="inlineStr">
        <is>
          <t>03/17/2026 – 03/17/2027</t>
        </is>
      </c>
      <c r="F136" s="7" t="inlineStr">
        <is>
          <t>G, O</t>
        </is>
      </c>
      <c r="G136" s="7" t="inlineStr">
        <is>
          <t>Insurance table</t>
        </is>
      </c>
      <c r="H136" s="7" t="inlineStr">
        <is>
          <t>Insurance</t>
        </is>
      </c>
      <c r="I136" s="13" t="inlineStr">
        <is>
          <t>BOILERPLATE</t>
        </is>
      </c>
      <c r="J136" s="7" t="inlineStr">
        <is>
          <t>components/insurance-and-bonding.md</t>
        </is>
      </c>
      <c r="K136" s="7" t="inlineStr">
        <is>
          <t>—</t>
        </is>
      </c>
      <c r="L136" s="7" t="inlineStr">
        <is>
          <t>Updates annually</t>
        </is>
      </c>
      <c r="M136" s="7" t="inlineStr">
        <is>
          <t>No</t>
        </is>
      </c>
    </row>
    <row r="137">
      <c r="A137" s="7" t="inlineStr">
        <is>
          <t>K. Compliance</t>
        </is>
      </c>
      <c r="B137" s="7" t="inlineStr">
        <is>
          <t>auto_limit</t>
        </is>
      </c>
      <c r="C137" s="7" t="inlineStr">
        <is>
          <t>Auto Liability Limit</t>
        </is>
      </c>
      <c r="D137" s="7" t="inlineStr">
        <is>
          <t>currency</t>
        </is>
      </c>
      <c r="E137" s="7" t="inlineStr">
        <is>
          <t>1000000</t>
        </is>
      </c>
      <c r="F137" s="7" t="inlineStr">
        <is>
          <t>G, O</t>
        </is>
      </c>
      <c r="G137" s="7" t="inlineStr">
        <is>
          <t>Insurance table</t>
        </is>
      </c>
      <c r="H137" s="7" t="inlineStr">
        <is>
          <t>Insurance</t>
        </is>
      </c>
      <c r="I137" s="13" t="inlineStr">
        <is>
          <t>BOILERPLATE</t>
        </is>
      </c>
      <c r="J137" s="7" t="inlineStr">
        <is>
          <t>components/insurance-and-bonding.md</t>
        </is>
      </c>
      <c r="K137" s="7" t="inlineStr">
        <is>
          <t>$1M combined single</t>
        </is>
      </c>
      <c r="L137" s="7" t="inlineStr">
        <is>
          <t>Static</t>
        </is>
      </c>
      <c r="M137" s="7" t="inlineStr">
        <is>
          <t>No</t>
        </is>
      </c>
    </row>
    <row r="138">
      <c r="A138" s="7" t="inlineStr">
        <is>
          <t>K. Compliance</t>
        </is>
      </c>
      <c r="B138" s="7" t="inlineStr">
        <is>
          <t>bond_capacity_single</t>
        </is>
      </c>
      <c r="C138" s="7" t="inlineStr">
        <is>
          <t>Bond Capacity — single project</t>
        </is>
      </c>
      <c r="D138" s="7" t="inlineStr">
        <is>
          <t>currency</t>
        </is>
      </c>
      <c r="E138" s="7" t="inlineStr">
        <is>
          <t>5000000</t>
        </is>
      </c>
      <c r="F138" s="7" t="inlineStr">
        <is>
          <t>G</t>
        </is>
      </c>
      <c r="G138" s="7" t="inlineStr">
        <is>
          <t>Insurance table</t>
        </is>
      </c>
      <c r="H138" s="7" t="inlineStr">
        <is>
          <t>Bonding</t>
        </is>
      </c>
      <c r="I138" s="13" t="inlineStr">
        <is>
          <t>BOILERPLATE</t>
        </is>
      </c>
      <c r="J138" s="7" t="inlineStr">
        <is>
          <t>samples/sample-gc-k12-summer.md + bonding notes</t>
        </is>
      </c>
      <c r="K138" s="7" t="inlineStr">
        <is>
          <t>$5M</t>
        </is>
      </c>
      <c r="L138" s="7" t="inlineStr">
        <is>
          <t>Static</t>
        </is>
      </c>
      <c r="M138" s="7" t="inlineStr">
        <is>
          <t>No</t>
        </is>
      </c>
    </row>
    <row r="139">
      <c r="A139" s="7" t="inlineStr">
        <is>
          <t>K. Compliance</t>
        </is>
      </c>
      <c r="B139" s="7" t="inlineStr">
        <is>
          <t>bond_capacity_aggregate</t>
        </is>
      </c>
      <c r="C139" s="7" t="inlineStr">
        <is>
          <t>Bond Capacity — aggregate</t>
        </is>
      </c>
      <c r="D139" s="7" t="inlineStr">
        <is>
          <t>currency</t>
        </is>
      </c>
      <c r="E139" s="7" t="inlineStr">
        <is>
          <t>15000000</t>
        </is>
      </c>
      <c r="F139" s="7" t="inlineStr">
        <is>
          <t>G</t>
        </is>
      </c>
      <c r="G139" s="7" t="inlineStr">
        <is>
          <t>Insurance table</t>
        </is>
      </c>
      <c r="H139" s="7" t="inlineStr">
        <is>
          <t>Bonding</t>
        </is>
      </c>
      <c r="I139" s="13" t="inlineStr">
        <is>
          <t>BOILERPLATE</t>
        </is>
      </c>
      <c r="J139" s="7" t="inlineStr">
        <is>
          <t>bonding notes</t>
        </is>
      </c>
      <c r="K139" s="7" t="inlineStr">
        <is>
          <t>$15M</t>
        </is>
      </c>
      <c r="L139" s="7" t="inlineStr">
        <is>
          <t>Static</t>
        </is>
      </c>
      <c r="M139" s="7" t="inlineStr">
        <is>
          <t>No</t>
        </is>
      </c>
    </row>
    <row r="140">
      <c r="A140" s="7" t="inlineStr">
        <is>
          <t>K. Compliance</t>
        </is>
      </c>
      <c r="B140" s="7" t="inlineStr">
        <is>
          <t>bond_provider</t>
        </is>
      </c>
      <c r="C140" s="7" t="inlineStr">
        <is>
          <t>Bond Surety</t>
        </is>
      </c>
      <c r="D140" s="7" t="inlineStr">
        <is>
          <t>string</t>
        </is>
      </c>
      <c r="E140" s="7" t="inlineStr">
        <is>
          <t>Via AmGUARD</t>
        </is>
      </c>
      <c r="F140" s="7" t="inlineStr">
        <is>
          <t>G</t>
        </is>
      </c>
      <c r="G140" s="7" t="inlineStr">
        <is>
          <t>Bonding</t>
        </is>
      </c>
      <c r="H140" s="7" t="inlineStr">
        <is>
          <t>Bonding</t>
        </is>
      </c>
      <c r="I140" s="13" t="inlineStr">
        <is>
          <t>BOILERPLATE</t>
        </is>
      </c>
      <c r="J140" s="7" t="inlineStr">
        <is>
          <t>bonding notes</t>
        </is>
      </c>
      <c r="K140" s="7" t="inlineStr">
        <is>
          <t>—</t>
        </is>
      </c>
      <c r="L140" s="7" t="inlineStr">
        <is>
          <t>Static</t>
        </is>
      </c>
      <c r="M140" s="7" t="inlineStr">
        <is>
          <t>No</t>
        </is>
      </c>
    </row>
    <row r="141">
      <c r="A141" s="7" t="inlineStr">
        <is>
          <t>K. Compliance</t>
        </is>
      </c>
      <c r="B141" s="7" t="inlineStr">
        <is>
          <t>standards_cited</t>
        </is>
      </c>
      <c r="C141" s="7" t="inlineStr">
        <is>
          <t>Standards Cited Block</t>
        </is>
      </c>
      <c r="D141" s="7" t="inlineStr">
        <is>
          <t>list</t>
        </is>
      </c>
      <c r="E141" s="7" t="inlineStr">
        <is>
          <t>TIA 568-D, 569-E, 606-C, 607-C, 862-B, NEC 725/770/800, BICSI TDMM, NEC 800.179, ADA</t>
        </is>
      </c>
      <c r="F141" s="7" t="inlineStr">
        <is>
          <t>G, O</t>
        </is>
      </c>
      <c r="G141" s="7" t="inlineStr">
        <is>
          <t>GC §05, Owner §04.1</t>
        </is>
      </c>
      <c r="H141" s="7" t="inlineStr">
        <is>
          <t>Certifications / Standards</t>
        </is>
      </c>
      <c r="I141" s="13" t="inlineStr">
        <is>
          <t>BOILERPLATE</t>
        </is>
      </c>
      <c r="J141" s="7" t="inlineStr">
        <is>
          <t>components/certifications-and-standards.md</t>
        </is>
      </c>
      <c r="K141" s="7" t="inlineStr">
        <is>
          <t>Static</t>
        </is>
      </c>
      <c r="L141" s="7" t="inlineStr">
        <is>
          <t>Any change = doc-wide review</t>
        </is>
      </c>
      <c r="M141" s="7" t="inlineStr">
        <is>
          <t>No</t>
        </is>
      </c>
    </row>
    <row r="142">
      <c r="A142" s="7" t="inlineStr">
        <is>
          <t>K. Compliance</t>
        </is>
      </c>
      <c r="B142" s="7" t="inlineStr">
        <is>
          <t>testing_equipment</t>
        </is>
      </c>
      <c r="C142" s="7" t="inlineStr">
        <is>
          <t>Testing Equipment Owned</t>
        </is>
      </c>
      <c r="D142" s="7" t="inlineStr">
        <is>
          <t>list</t>
        </is>
      </c>
      <c r="E142" s="7" t="inlineStr">
        <is>
          <t>Fluke DSX-8000, OTDR, LSPM, Brady M611</t>
        </is>
      </c>
      <c r="F142" s="7" t="inlineStr">
        <is>
          <t>G, O</t>
        </is>
      </c>
      <c r="G142" s="7" t="inlineStr">
        <is>
          <t>GC §05</t>
        </is>
      </c>
      <c r="H142" s="7" t="inlineStr">
        <is>
          <t>Qualifications</t>
        </is>
      </c>
      <c r="I142" s="13" t="inlineStr">
        <is>
          <t>BOILERPLATE</t>
        </is>
      </c>
      <c r="J142" s="7" t="inlineStr">
        <is>
          <t>components/certifications-and-standards.md</t>
        </is>
      </c>
      <c r="K142" s="7" t="inlineStr">
        <is>
          <t>Static</t>
        </is>
      </c>
      <c r="L142" s="7" t="inlineStr">
        <is>
          <t>—</t>
        </is>
      </c>
      <c r="M142" s="7" t="inlineStr">
        <is>
          <t>No</t>
        </is>
      </c>
    </row>
    <row r="143">
      <c r="A143" s="7" t="inlineStr">
        <is>
          <t>K. Compliance</t>
        </is>
      </c>
      <c r="B143" s="7" t="inlineStr">
        <is>
          <t>closeout_deliverables</t>
        </is>
      </c>
      <c r="C143" s="7" t="inlineStr">
        <is>
          <t>Closeout Deliverables List</t>
        </is>
      </c>
      <c r="D143" s="7" t="inlineStr">
        <is>
          <t>list</t>
        </is>
      </c>
      <c r="E143" s="7" t="inlineStr">
        <is>
          <t>As-builts, LinkWare PDF, OTDR .sor, rack elevations, warranty reg, MSDS</t>
        </is>
      </c>
      <c r="F143" s="7" t="inlineStr">
        <is>
          <t>G, O</t>
        </is>
      </c>
      <c r="G143" s="7" t="inlineStr">
        <is>
          <t>GC deliverables, Owner §07.2</t>
        </is>
      </c>
      <c r="H143" s="7" t="inlineStr">
        <is>
          <t>Closeout / What's Included</t>
        </is>
      </c>
      <c r="I143" s="13" t="inlineStr">
        <is>
          <t>BOILERPLATE</t>
        </is>
      </c>
      <c r="J143" s="7" t="inlineStr">
        <is>
          <t>components/certifications-and-standards.md</t>
        </is>
      </c>
      <c r="K143" s="7" t="inlineStr">
        <is>
          <t>Static</t>
        </is>
      </c>
      <c r="L143" s="7" t="inlineStr">
        <is>
          <t>—</t>
        </is>
      </c>
      <c r="M143" s="7" t="inlineStr">
        <is>
          <t>No</t>
        </is>
      </c>
    </row>
    <row r="144">
      <c r="A144" s="7" t="inlineStr">
        <is>
          <t>K. Compliance</t>
        </is>
      </c>
      <c r="B144" s="7" t="inlineStr">
        <is>
          <t>preferred_product_lines</t>
        </is>
      </c>
      <c r="C144" s="7" t="inlineStr">
        <is>
          <t>Preferred Product Lines Table</t>
        </is>
      </c>
      <c r="D144" s="7" t="inlineStr">
        <is>
          <t>table</t>
        </is>
      </c>
      <c r="E144" s="7" t="inlineStr">
        <is>
          <t>Ubiquiti, CommScope, Corning, Leviton, Avigilon, Mercury, Bosch</t>
        </is>
      </c>
      <c r="F144" s="7" t="inlineStr">
        <is>
          <t>G, O</t>
        </is>
      </c>
      <c r="G144" s="7" t="inlineStr">
        <is>
          <t>GC §05 appendix (optional)</t>
        </is>
      </c>
      <c r="H144" s="7" t="inlineStr">
        <is>
          <t>Standards / Products</t>
        </is>
      </c>
      <c r="I144" s="13" t="inlineStr">
        <is>
          <t>BOILERPLATE</t>
        </is>
      </c>
      <c r="J144" s="7" t="inlineStr">
        <is>
          <t>components/certifications-and-standards.md</t>
        </is>
      </c>
      <c r="K144" s="7" t="inlineStr">
        <is>
          <t>Static</t>
        </is>
      </c>
      <c r="L144" s="7" t="inlineStr">
        <is>
          <t>—</t>
        </is>
      </c>
      <c r="M144" s="7" t="inlineStr">
        <is>
          <t>No</t>
        </is>
      </c>
    </row>
    <row r="145">
      <c r="A145" s="7" t="inlineStr">
        <is>
          <t>K. Compliance</t>
        </is>
      </c>
      <c r="B145" s="7" t="inlineStr">
        <is>
          <t>bicsi_credentials</t>
        </is>
      </c>
      <c r="C145" s="7" t="inlineStr">
        <is>
          <t>BICSI / OSHA / ICRA Credentials</t>
        </is>
      </c>
      <c r="D145" s="7" t="inlineStr">
        <is>
          <t>list</t>
        </is>
      </c>
      <c r="E145" s="7" t="inlineStr">
        <is>
          <t>BICSI TDMM, OSHA 10/30, ICRA Class 3/4, Hilti PAT</t>
        </is>
      </c>
      <c r="F145" s="7" t="inlineStr">
        <is>
          <t>G, O</t>
        </is>
      </c>
      <c r="G145" s="7" t="inlineStr">
        <is>
          <t>GC §05, Owner §03</t>
        </is>
      </c>
      <c r="H145" s="7" t="inlineStr">
        <is>
          <t>Qualifications</t>
        </is>
      </c>
      <c r="I145" s="13" t="inlineStr">
        <is>
          <t>BOILERPLATE</t>
        </is>
      </c>
      <c r="J145" s="7" t="inlineStr">
        <is>
          <t>samples + components/team-and-leadership.md</t>
        </is>
      </c>
      <c r="K145" s="7" t="inlineStr">
        <is>
          <t>Static</t>
        </is>
      </c>
      <c r="L145" s="7" t="inlineStr">
        <is>
          <t>—</t>
        </is>
      </c>
      <c r="M145" s="7" t="inlineStr">
        <is>
          <t>No</t>
        </is>
      </c>
    </row>
    <row r="146">
      <c r="A146" s="5" t="inlineStr">
        <is>
          <t>L. Scope Pulls</t>
        </is>
      </c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>
      <c r="A147" s="7" t="inlineStr">
        <is>
          <t>L. Scope Pulls</t>
        </is>
      </c>
      <c r="B147" s="7" t="inlineStr">
        <is>
          <t>scope_block_cabling</t>
        </is>
      </c>
      <c r="C147" s="7" t="inlineStr">
        <is>
          <t>Structured Cabling narrative</t>
        </is>
      </c>
      <c r="D147" s="7" t="inlineStr">
        <is>
          <t>block</t>
        </is>
      </c>
      <c r="E147" s="7" t="inlineStr">
        <is>
          <t>(Cat6A, Fluke, TIA-606-C inclusions + standards)</t>
        </is>
      </c>
      <c r="F147" s="7" t="inlineStr">
        <is>
          <t>G, O, R</t>
        </is>
      </c>
      <c r="G147" s="7" t="inlineStr">
        <is>
          <t>§03/§04 where in services_included</t>
        </is>
      </c>
      <c r="H147" s="7" t="inlineStr">
        <is>
          <t>Scope of Work</t>
        </is>
      </c>
      <c r="I147" s="13" t="inlineStr">
        <is>
          <t>BOILERPLATE</t>
        </is>
      </c>
      <c r="J147" s="7" t="inlineStr">
        <is>
          <t>scope-library/commercial-01-structured-cabling.md</t>
        </is>
      </c>
      <c r="K147" s="7" t="inlineStr">
        <is>
          <t>Pulled whole if 'commercial-01' in services_included</t>
        </is>
      </c>
      <c r="L147" s="7" t="inlineStr">
        <is>
          <t>—</t>
        </is>
      </c>
      <c r="M147" s="7" t="inlineStr">
        <is>
          <t>No</t>
        </is>
      </c>
    </row>
    <row r="148">
      <c r="A148" s="7" t="inlineStr">
        <is>
          <t>L. Scope Pulls</t>
        </is>
      </c>
      <c r="B148" s="7" t="inlineStr">
        <is>
          <t>scope_block_security</t>
        </is>
      </c>
      <c r="C148" s="7" t="inlineStr">
        <is>
          <t>Electronic Security narrative</t>
        </is>
      </c>
      <c r="D148" s="7" t="inlineStr">
        <is>
          <t>block</t>
        </is>
      </c>
      <c r="E148" s="7" t="inlineStr">
        <is>
          <t>(Cameras, ACS, intrusion, intercom inclusions)</t>
        </is>
      </c>
      <c r="F148" s="7" t="inlineStr">
        <is>
          <t>G, O, R</t>
        </is>
      </c>
      <c r="G148" s="7" t="inlineStr">
        <is>
          <t>§03/§04</t>
        </is>
      </c>
      <c r="H148" s="7" t="inlineStr">
        <is>
          <t>Scope</t>
        </is>
      </c>
      <c r="I148" s="13" t="inlineStr">
        <is>
          <t>BOILERPLATE</t>
        </is>
      </c>
      <c r="J148" s="7" t="inlineStr">
        <is>
          <t>scope-library/commercial-02-electronic-security.md</t>
        </is>
      </c>
      <c r="K148" s="7" t="inlineStr">
        <is>
          <t>Pulled if 'commercial-02' in services_included</t>
        </is>
      </c>
      <c r="L148" s="7" t="inlineStr">
        <is>
          <t>—</t>
        </is>
      </c>
      <c r="M148" s="7" t="inlineStr">
        <is>
          <t>No</t>
        </is>
      </c>
    </row>
    <row r="149">
      <c r="A149" s="7" t="inlineStr">
        <is>
          <t>L. Scope Pulls</t>
        </is>
      </c>
      <c r="B149" s="7" t="inlineStr">
        <is>
          <t>scope_block_av_paging</t>
        </is>
      </c>
      <c r="C149" s="7" t="inlineStr">
        <is>
          <t>AV &amp; Paging narrative</t>
        </is>
      </c>
      <c r="D149" s="7" t="inlineStr">
        <is>
          <t>block</t>
        </is>
      </c>
      <c r="E149" s="7" t="inlineStr">
        <is>
          <t>(Displays, speakers, mic/amp inclusions)</t>
        </is>
      </c>
      <c r="F149" s="7" t="inlineStr">
        <is>
          <t>G, O</t>
        </is>
      </c>
      <c r="G149" s="7" t="inlineStr">
        <is>
          <t>§03/§04</t>
        </is>
      </c>
      <c r="H149" s="7" t="inlineStr">
        <is>
          <t>Scope</t>
        </is>
      </c>
      <c r="I149" s="13" t="inlineStr">
        <is>
          <t>BOILERPLATE</t>
        </is>
      </c>
      <c r="J149" s="7" t="inlineStr">
        <is>
          <t>scope-library/commercial-03-av-and-paging.md</t>
        </is>
      </c>
      <c r="K149" s="7" t="inlineStr">
        <is>
          <t>Pulled if 'commercial-03' in services_included</t>
        </is>
      </c>
      <c r="L149" s="7" t="inlineStr">
        <is>
          <t>—</t>
        </is>
      </c>
      <c r="M149" s="7" t="inlineStr">
        <is>
          <t>No</t>
        </is>
      </c>
    </row>
    <row r="150">
      <c r="A150" s="7" t="inlineStr">
        <is>
          <t>L. Scope Pulls</t>
        </is>
      </c>
      <c r="B150" s="7" t="inlineStr">
        <is>
          <t>scope_block_telecom_room</t>
        </is>
      </c>
      <c r="C150" s="7" t="inlineStr">
        <is>
          <t>Telecom Room Buildout narrative</t>
        </is>
      </c>
      <c r="D150" s="7" t="inlineStr">
        <is>
          <t>block</t>
        </is>
      </c>
      <c r="E150" s="7" t="inlineStr">
        <is>
          <t>(42U rack, backboard, TMGB/TGB, ladder rack)</t>
        </is>
      </c>
      <c r="F150" s="7" t="inlineStr">
        <is>
          <t>G, O</t>
        </is>
      </c>
      <c r="G150" s="7" t="inlineStr">
        <is>
          <t>§03/§04</t>
        </is>
      </c>
      <c r="H150" s="7" t="inlineStr">
        <is>
          <t>Scope</t>
        </is>
      </c>
      <c r="I150" s="13" t="inlineStr">
        <is>
          <t>BOILERPLATE</t>
        </is>
      </c>
      <c r="J150" s="7" t="inlineStr">
        <is>
          <t>scope-library/commercial-04-telecom-room.md</t>
        </is>
      </c>
      <c r="K150" s="7" t="inlineStr">
        <is>
          <t>Pulled if 'commercial-04' in services_included</t>
        </is>
      </c>
      <c r="L150" s="7" t="inlineStr">
        <is>
          <t>—</t>
        </is>
      </c>
      <c r="M150" s="7" t="inlineStr">
        <is>
          <t>No</t>
        </is>
      </c>
    </row>
    <row r="151">
      <c r="A151" s="7" t="inlineStr">
        <is>
          <t>L. Scope Pulls</t>
        </is>
      </c>
      <c r="B151" s="7" t="inlineStr">
        <is>
          <t>scope_block_pathway_support</t>
        </is>
      </c>
      <c r="C151" s="7" t="inlineStr">
        <is>
          <t>Pathway &amp; Support narrative</t>
        </is>
      </c>
      <c r="D151" s="7" t="inlineStr">
        <is>
          <t>block</t>
        </is>
      </c>
      <c r="E151" s="7" t="inlineStr">
        <is>
          <t>(J-hook, tray, firestop, conduit)</t>
        </is>
      </c>
      <c r="F151" s="7" t="inlineStr">
        <is>
          <t>G, O</t>
        </is>
      </c>
      <c r="G151" s="7" t="inlineStr">
        <is>
          <t>§03/§04</t>
        </is>
      </c>
      <c r="H151" s="7" t="inlineStr">
        <is>
          <t>Scope</t>
        </is>
      </c>
      <c r="I151" s="13" t="inlineStr">
        <is>
          <t>BOILERPLATE</t>
        </is>
      </c>
      <c r="J151" s="7" t="inlineStr">
        <is>
          <t>scope-library/commercial-05-pathway-and-support.md</t>
        </is>
      </c>
      <c r="K151" s="7" t="inlineStr">
        <is>
          <t>Pulled if 'commercial-05' in services_included</t>
        </is>
      </c>
      <c r="L151" s="7" t="inlineStr">
        <is>
          <t>—</t>
        </is>
      </c>
      <c r="M151" s="7" t="inlineStr">
        <is>
          <t>No</t>
        </is>
      </c>
    </row>
    <row r="152">
      <c r="A152" s="7" t="inlineStr">
        <is>
          <t>L. Scope Pulls</t>
        </is>
      </c>
      <c r="B152" s="7" t="inlineStr">
        <is>
          <t>scope_block_cert_docs</t>
        </is>
      </c>
      <c r="C152" s="7" t="inlineStr">
        <is>
          <t>Certification &amp; Documentation narrative</t>
        </is>
      </c>
      <c r="D152" s="7" t="inlineStr">
        <is>
          <t>block</t>
        </is>
      </c>
      <c r="E152" s="7" t="inlineStr">
        <is>
          <t>(Fluke cert, OTDR, LinkWare PDF, TIA-606-C, as-builts)</t>
        </is>
      </c>
      <c r="F152" s="7" t="inlineStr">
        <is>
          <t>G, O</t>
        </is>
      </c>
      <c r="G152" s="7" t="inlineStr">
        <is>
          <t>§03/§04</t>
        </is>
      </c>
      <c r="H152" s="7" t="inlineStr">
        <is>
          <t>Scope / Deliverables</t>
        </is>
      </c>
      <c r="I152" s="13" t="inlineStr">
        <is>
          <t>BOILERPLATE</t>
        </is>
      </c>
      <c r="J152" s="7" t="inlineStr">
        <is>
          <t>scope-library/commercial-06-certification-and-documentation.md</t>
        </is>
      </c>
      <c r="K152" s="7" t="inlineStr">
        <is>
          <t>Pulled if 'commercial-06'</t>
        </is>
      </c>
      <c r="L152" s="7" t="inlineStr">
        <is>
          <t>—</t>
        </is>
      </c>
      <c r="M152" s="7" t="inlineStr">
        <is>
          <t>No</t>
        </is>
      </c>
    </row>
    <row r="153">
      <c r="A153" s="7" t="inlineStr">
        <is>
          <t>L. Scope Pulls</t>
        </is>
      </c>
      <c r="B153" s="7" t="inlineStr">
        <is>
          <t>scope_block_project_mgmt</t>
        </is>
      </c>
      <c r="C153" s="7" t="inlineStr">
        <is>
          <t>Project Management &amp; Delivery narrative</t>
        </is>
      </c>
      <c r="D153" s="7" t="inlineStr">
        <is>
          <t>block</t>
        </is>
      </c>
      <c r="E153" s="7" t="inlineStr">
        <is>
          <t>(PM + RCDD, OAC, 2-person crew, site conduct)</t>
        </is>
      </c>
      <c r="F153" s="7" t="inlineStr">
        <is>
          <t>G, O</t>
        </is>
      </c>
      <c r="G153" s="7" t="inlineStr">
        <is>
          <t>GC §07, Owner §05</t>
        </is>
      </c>
      <c r="H153" s="7" t="inlineStr">
        <is>
          <t>Project Management</t>
        </is>
      </c>
      <c r="I153" s="13" t="inlineStr">
        <is>
          <t>BOILERPLATE</t>
        </is>
      </c>
      <c r="J153" s="7" t="inlineStr">
        <is>
          <t>scope-library/commercial-07-project-management.md</t>
        </is>
      </c>
      <c r="K153" s="7" t="inlineStr">
        <is>
          <t>Pulled if 'commercial-07'</t>
        </is>
      </c>
      <c r="L153" s="7" t="inlineStr">
        <is>
          <t>—</t>
        </is>
      </c>
      <c r="M153" s="7" t="inlineStr">
        <is>
          <t>No</t>
        </is>
      </c>
    </row>
    <row r="154">
      <c r="A154" s="7" t="inlineStr">
        <is>
          <t>L. Scope Pulls</t>
        </is>
      </c>
      <c r="B154" s="7" t="inlineStr">
        <is>
          <t>scope_block_home_network</t>
        </is>
      </c>
      <c r="C154" s="7" t="inlineStr">
        <is>
          <t>Home Network narrative (Res)</t>
        </is>
      </c>
      <c r="D154" s="7" t="inlineStr">
        <is>
          <t>block</t>
        </is>
      </c>
      <c r="E154" s="7" t="inlineStr">
        <is>
          <t>(Cat6A to structured-media panel, APs, router/switch)</t>
        </is>
      </c>
      <c r="F154" s="7" t="inlineStr">
        <is>
          <t>R</t>
        </is>
      </c>
      <c r="G154" s="7" t="inlineStr">
        <is>
          <t>Res §04</t>
        </is>
      </c>
      <c r="H154" s="7" t="inlineStr">
        <is>
          <t>Home Network</t>
        </is>
      </c>
      <c r="I154" s="13" t="inlineStr">
        <is>
          <t>BOILERPLATE</t>
        </is>
      </c>
      <c r="J154" s="7" t="inlineStr">
        <is>
          <t>scope-library/residential-01-home-network.md</t>
        </is>
      </c>
      <c r="K154" s="7" t="inlineStr">
        <is>
          <t>Pulled if 'residential-01' in services_included</t>
        </is>
      </c>
      <c r="L154" s="7" t="inlineStr">
        <is>
          <t>—</t>
        </is>
      </c>
      <c r="M154" s="7" t="inlineStr">
        <is>
          <t>No</t>
        </is>
      </c>
    </row>
    <row r="155">
      <c r="A155" s="7" t="inlineStr">
        <is>
          <t>L. Scope Pulls</t>
        </is>
      </c>
      <c r="B155" s="7" t="inlineStr">
        <is>
          <t>scope_block_home_security</t>
        </is>
      </c>
      <c r="C155" s="7" t="inlineStr">
        <is>
          <t>Home Security narrative (Res)</t>
        </is>
      </c>
      <c r="D155" s="7" t="inlineStr">
        <is>
          <t>block</t>
        </is>
      </c>
      <c r="E155" s="7" t="inlineStr">
        <is>
          <t>(IP cameras, NVR, PoE power)</t>
        </is>
      </c>
      <c r="F155" s="7" t="inlineStr">
        <is>
          <t>R</t>
        </is>
      </c>
      <c r="G155" s="7" t="inlineStr">
        <is>
          <t>Res §04</t>
        </is>
      </c>
      <c r="H155" s="7" t="inlineStr">
        <is>
          <t>Home Security</t>
        </is>
      </c>
      <c r="I155" s="13" t="inlineStr">
        <is>
          <t>BOILERPLATE</t>
        </is>
      </c>
      <c r="J155" s="7" t="inlineStr">
        <is>
          <t>scope-library/residential-02-home-security.md</t>
        </is>
      </c>
      <c r="K155" s="7" t="inlineStr">
        <is>
          <t>Pulled if 'residential-02'</t>
        </is>
      </c>
      <c r="L155" s="7" t="inlineStr">
        <is>
          <t>—</t>
        </is>
      </c>
      <c r="M155" s="7" t="inlineStr">
        <is>
          <t>No</t>
        </is>
      </c>
    </row>
    <row r="156">
      <c r="A156" s="7" t="inlineStr">
        <is>
          <t>L. Scope Pulls</t>
        </is>
      </c>
      <c r="B156" s="7" t="inlineStr">
        <is>
          <t>scope_block_home_av</t>
        </is>
      </c>
      <c r="C156" s="7" t="inlineStr">
        <is>
          <t>Home AV narrative (Res)</t>
        </is>
      </c>
      <c r="D156" s="7" t="inlineStr">
        <is>
          <t>block</t>
        </is>
      </c>
      <c r="E156" s="7" t="inlineStr">
        <is>
          <t>(TV mount, speaker install, multi-zone audio)</t>
        </is>
      </c>
      <c r="F156" s="7" t="inlineStr">
        <is>
          <t>R</t>
        </is>
      </c>
      <c r="G156" s="7" t="inlineStr">
        <is>
          <t>Res §04</t>
        </is>
      </c>
      <c r="H156" s="7" t="inlineStr">
        <is>
          <t>Home AV</t>
        </is>
      </c>
      <c r="I156" s="13" t="inlineStr">
        <is>
          <t>BOILERPLATE</t>
        </is>
      </c>
      <c r="J156" s="7" t="inlineStr">
        <is>
          <t>scope-library/residential-03-home-av.md</t>
        </is>
      </c>
      <c r="K156" s="7" t="inlineStr">
        <is>
          <t>Pulled if 'residential-03'</t>
        </is>
      </c>
      <c r="L156" s="7" t="inlineStr">
        <is>
          <t>—</t>
        </is>
      </c>
      <c r="M156" s="7" t="inlineStr">
        <is>
          <t>No</t>
        </is>
      </c>
    </row>
    <row r="157">
      <c r="A157" s="7" t="inlineStr">
        <is>
          <t>L. Scope Pulls</t>
        </is>
      </c>
      <c r="B157" s="7" t="inlineStr">
        <is>
          <t>scope_block_home_service</t>
        </is>
      </c>
      <c r="C157" s="7" t="inlineStr">
        <is>
          <t>Home Service Plan narrative (Res)</t>
        </is>
      </c>
      <c r="D157" s="7" t="inlineStr">
        <is>
          <t>block</t>
        </is>
      </c>
      <c r="E157" s="7" t="inlineStr">
        <is>
          <t>(Managed services, remote monitoring, advance replace)</t>
        </is>
      </c>
      <c r="F157" s="7" t="inlineStr">
        <is>
          <t>R</t>
        </is>
      </c>
      <c r="G157" s="7" t="inlineStr">
        <is>
          <t>Res §06</t>
        </is>
      </c>
      <c r="H157" s="7" t="inlineStr">
        <is>
          <t>Managed Services</t>
        </is>
      </c>
      <c r="I157" s="13" t="inlineStr">
        <is>
          <t>BOILERPLATE</t>
        </is>
      </c>
      <c r="J157" s="7" t="inlineStr">
        <is>
          <t>scope-library/residential-04-home-service.md</t>
        </is>
      </c>
      <c r="K157" s="7" t="inlineStr">
        <is>
          <t>Pulled if 'residential-04'</t>
        </is>
      </c>
      <c r="L157" s="7" t="inlineStr">
        <is>
          <t>—</t>
        </is>
      </c>
      <c r="M157" s="7" t="inlineStr">
        <is>
          <t>No</t>
        </is>
      </c>
    </row>
    <row r="158">
      <c r="A158" s="7" t="inlineStr">
        <is>
          <t>L. Scope Pulls</t>
        </is>
      </c>
      <c r="B158" s="7" t="inlineStr">
        <is>
          <t>exclusions_standard_hard_rules</t>
        </is>
      </c>
      <c r="C158" s="7" t="inlineStr">
        <is>
          <t>Standard Exclusions (hard rules)</t>
        </is>
      </c>
      <c r="D158" s="7" t="inlineStr">
        <is>
          <t>list</t>
        </is>
      </c>
      <c r="E158" s="7" t="inlineStr">
        <is>
          <t>Fire alarm, ERCES/BDA, lighting controls, BMS/HVAC, EV, mass-notification</t>
        </is>
      </c>
      <c r="F158" s="7" t="inlineStr">
        <is>
          <t>G, O, R</t>
        </is>
      </c>
      <c r="G158" s="7" t="inlineStr">
        <is>
          <t>§3.5, §4.2</t>
        </is>
      </c>
      <c r="H158" s="7" t="inlineStr">
        <is>
          <t>Exclusions</t>
        </is>
      </c>
      <c r="I158" s="13" t="inlineStr">
        <is>
          <t>BOILERPLATE</t>
        </is>
      </c>
      <c r="J158" s="7" t="inlineStr">
        <is>
          <t>components/hard-rules.md §'Always exclude'</t>
        </is>
      </c>
      <c r="K158" s="7" t="inlineStr">
        <is>
          <t>Always included verbatim</t>
        </is>
      </c>
      <c r="L158" s="7" t="inlineStr">
        <is>
          <t>Never removed</t>
        </is>
      </c>
      <c r="M158" s="7" t="inlineStr">
        <is>
          <t>No</t>
        </is>
      </c>
    </row>
    <row r="159">
      <c r="A159" s="5" t="inlineStr">
        <is>
          <t>M. Terms</t>
        </is>
      </c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>
      <c r="A160" s="7" t="inlineStr">
        <is>
          <t>M. Terms</t>
        </is>
      </c>
      <c r="B160" s="7" t="inlineStr">
        <is>
          <t>tc_acceptance_validity_days</t>
        </is>
      </c>
      <c r="C160" s="7" t="inlineStr">
        <is>
          <t>Acceptance Validity (days)</t>
        </is>
      </c>
      <c r="D160" s="7" t="inlineStr">
        <is>
          <t>integer</t>
        </is>
      </c>
      <c r="E160" s="7" t="inlineStr">
        <is>
          <t>60</t>
        </is>
      </c>
      <c r="F160" s="7" t="inlineStr">
        <is>
          <t>G, O, R</t>
        </is>
      </c>
      <c r="G160" s="7" t="inlineStr">
        <is>
          <t>T&amp;C §1</t>
        </is>
      </c>
      <c r="H160" s="7" t="inlineStr">
        <is>
          <t>Terms</t>
        </is>
      </c>
      <c r="I160" s="13" t="inlineStr">
        <is>
          <t>BOILERPLATE</t>
        </is>
      </c>
      <c r="J160" s="7" t="inlineStr">
        <is>
          <t>terms/standard-terms-and-conditions.md §1</t>
        </is>
      </c>
      <c r="K160" s="7" t="inlineStr">
        <is>
          <t>60 days — drives validity_date</t>
        </is>
      </c>
      <c r="L160" s="7" t="inlineStr">
        <is>
          <t>Static</t>
        </is>
      </c>
      <c r="M160" s="7" t="inlineStr">
        <is>
          <t>No</t>
        </is>
      </c>
    </row>
    <row r="161">
      <c r="A161" s="7" t="inlineStr">
        <is>
          <t>M. Terms</t>
        </is>
      </c>
      <c r="B161" s="7" t="inlineStr">
        <is>
          <t>tc_change_order_markup_pct</t>
        </is>
      </c>
      <c r="C161" s="7" t="inlineStr">
        <is>
          <t>Change Order Markup %</t>
        </is>
      </c>
      <c r="D161" s="7" t="inlineStr">
        <is>
          <t>percent</t>
        </is>
      </c>
      <c r="E161" s="7" t="inlineStr">
        <is>
          <t>0.10</t>
        </is>
      </c>
      <c r="F161" s="7" t="inlineStr">
        <is>
          <t>G, O, R</t>
        </is>
      </c>
      <c r="G161" s="7" t="inlineStr">
        <is>
          <t>T&amp;C §3</t>
        </is>
      </c>
      <c r="H161" s="7" t="inlineStr">
        <is>
          <t>Terms</t>
        </is>
      </c>
      <c r="I161" s="13" t="inlineStr">
        <is>
          <t>BOILERPLATE</t>
        </is>
      </c>
      <c r="J161" s="7" t="inlineStr">
        <is>
          <t>terms §3</t>
        </is>
      </c>
      <c r="K161" s="7" t="inlineStr">
        <is>
          <t>10%</t>
        </is>
      </c>
      <c r="L161" s="7" t="inlineStr">
        <is>
          <t>Static</t>
        </is>
      </c>
      <c r="M161" s="7" t="inlineStr">
        <is>
          <t>No</t>
        </is>
      </c>
    </row>
    <row r="162">
      <c r="A162" s="7" t="inlineStr">
        <is>
          <t>M. Terms</t>
        </is>
      </c>
      <c r="B162" s="7" t="inlineStr">
        <is>
          <t>tc_retention_pct</t>
        </is>
      </c>
      <c r="C162" s="7" t="inlineStr">
        <is>
          <t>Retention %</t>
        </is>
      </c>
      <c r="D162" s="7" t="inlineStr">
        <is>
          <t>percent</t>
        </is>
      </c>
      <c r="E162" s="7" t="inlineStr">
        <is>
          <t>0.05</t>
        </is>
      </c>
      <c r="F162" s="7" t="inlineStr">
        <is>
          <t>G, O</t>
        </is>
      </c>
      <c r="G162" s="7" t="inlineStr">
        <is>
          <t>T&amp;C §5</t>
        </is>
      </c>
      <c r="H162" s="7" t="inlineStr">
        <is>
          <t>Terms + Payment</t>
        </is>
      </c>
      <c r="I162" s="13" t="inlineStr">
        <is>
          <t>BOILERPLATE</t>
        </is>
      </c>
      <c r="J162" s="7" t="inlineStr">
        <is>
          <t>terms §5</t>
        </is>
      </c>
      <c r="K162" s="7" t="inlineStr">
        <is>
          <t>5% (10% if GC requires)</t>
        </is>
      </c>
      <c r="L162" s="7" t="inlineStr">
        <is>
          <t>Static</t>
        </is>
      </c>
      <c r="M162" s="7" t="inlineStr">
        <is>
          <t>No</t>
        </is>
      </c>
    </row>
    <row r="163">
      <c r="A163" s="7" t="inlineStr">
        <is>
          <t>M. Terms</t>
        </is>
      </c>
      <c r="B163" s="7" t="inlineStr">
        <is>
          <t>tc_late_payment_pct_mo</t>
        </is>
      </c>
      <c r="C163" s="7" t="inlineStr">
        <is>
          <t>Late Payment Interest %/mo</t>
        </is>
      </c>
      <c r="D163" s="7" t="inlineStr">
        <is>
          <t>percent</t>
        </is>
      </c>
      <c r="E163" s="7" t="inlineStr">
        <is>
          <t>0.015</t>
        </is>
      </c>
      <c r="F163" s="7" t="inlineStr">
        <is>
          <t>G, O</t>
        </is>
      </c>
      <c r="G163" s="7" t="inlineStr">
        <is>
          <t>T&amp;C §5</t>
        </is>
      </c>
      <c r="H163" s="7" t="inlineStr">
        <is>
          <t>Payment</t>
        </is>
      </c>
      <c r="I163" s="13" t="inlineStr">
        <is>
          <t>BOILERPLATE</t>
        </is>
      </c>
      <c r="J163" s="7" t="inlineStr">
        <is>
          <t>terms §5</t>
        </is>
      </c>
      <c r="K163" s="7" t="inlineStr">
        <is>
          <t>1.5% per month</t>
        </is>
      </c>
      <c r="L163" s="7" t="inlineStr">
        <is>
          <t>Static</t>
        </is>
      </c>
      <c r="M163" s="7" t="inlineStr">
        <is>
          <t>No</t>
        </is>
      </c>
    </row>
    <row r="164">
      <c r="A164" s="7" t="inlineStr">
        <is>
          <t>M. Terms</t>
        </is>
      </c>
      <c r="B164" s="7" t="inlineStr">
        <is>
          <t>tc_warranty_workmanship</t>
        </is>
      </c>
      <c r="C164" s="7" t="inlineStr">
        <is>
          <t>Workmanship Warranty Term</t>
        </is>
      </c>
      <c r="D164" s="7" t="inlineStr">
        <is>
          <t>string</t>
        </is>
      </c>
      <c r="E164" s="7" t="inlineStr">
        <is>
          <t>Lifetime — transfers with property</t>
        </is>
      </c>
      <c r="F164" s="7" t="inlineStr">
        <is>
          <t>G, O, R</t>
        </is>
      </c>
      <c r="G164" s="7" t="inlineStr">
        <is>
          <t>T&amp;C §7, §06 Warranty</t>
        </is>
      </c>
      <c r="H164" s="7" t="inlineStr">
        <is>
          <t>Warranty</t>
        </is>
      </c>
      <c r="I164" s="13" t="inlineStr">
        <is>
          <t>BOILERPLATE</t>
        </is>
      </c>
      <c r="J164" s="7" t="inlineStr">
        <is>
          <t>terms §7 + differentiators.md</t>
        </is>
      </c>
      <c r="K164" s="7" t="inlineStr">
        <is>
          <t>—</t>
        </is>
      </c>
      <c r="L164" s="7" t="inlineStr">
        <is>
          <t>Static</t>
        </is>
      </c>
      <c r="M164" s="7" t="inlineStr">
        <is>
          <t>No</t>
        </is>
      </c>
    </row>
    <row r="165">
      <c r="A165" s="7" t="inlineStr">
        <is>
          <t>M. Terms</t>
        </is>
      </c>
      <c r="B165" s="7" t="inlineStr">
        <is>
          <t>tc_warranty_hardware_years</t>
        </is>
      </c>
      <c r="C165" s="7" t="inlineStr">
        <is>
          <t>GCC Hardware Warranty (years)</t>
        </is>
      </c>
      <c r="D165" s="7" t="inlineStr">
        <is>
          <t>integer</t>
        </is>
      </c>
      <c r="E165" s="7" t="inlineStr">
        <is>
          <t>5</t>
        </is>
      </c>
      <c r="F165" s="7" t="inlineStr">
        <is>
          <t>G, O, R</t>
        </is>
      </c>
      <c r="G165" s="7" t="inlineStr">
        <is>
          <t>T&amp;C §7</t>
        </is>
      </c>
      <c r="H165" s="7" t="inlineStr">
        <is>
          <t>Warranty</t>
        </is>
      </c>
      <c r="I165" s="13" t="inlineStr">
        <is>
          <t>BOILERPLATE</t>
        </is>
      </c>
      <c r="J165" s="7" t="inlineStr">
        <is>
          <t>terms §7</t>
        </is>
      </c>
      <c r="K165" s="7" t="inlineStr">
        <is>
          <t>5 years advance replacement</t>
        </is>
      </c>
      <c r="L165" s="7" t="inlineStr">
        <is>
          <t>Static</t>
        </is>
      </c>
      <c r="M165" s="7" t="inlineStr">
        <is>
          <t>No</t>
        </is>
      </c>
    </row>
    <row r="166">
      <c r="A166" s="7" t="inlineStr">
        <is>
          <t>M. Terms</t>
        </is>
      </c>
      <c r="B166" s="7" t="inlineStr">
        <is>
          <t>tc_termination_cure_days</t>
        </is>
      </c>
      <c r="C166" s="7" t="inlineStr">
        <is>
          <t>Termination Cure Period (days)</t>
        </is>
      </c>
      <c r="D166" s="7" t="inlineStr">
        <is>
          <t>integer</t>
        </is>
      </c>
      <c r="E166" s="7" t="inlineStr">
        <is>
          <t>30</t>
        </is>
      </c>
      <c r="F166" s="7" t="inlineStr">
        <is>
          <t>G, O, R</t>
        </is>
      </c>
      <c r="G166" s="7" t="inlineStr">
        <is>
          <t>T&amp;C §10</t>
        </is>
      </c>
      <c r="H166" s="7" t="inlineStr">
        <is>
          <t>Termination</t>
        </is>
      </c>
      <c r="I166" s="13" t="inlineStr">
        <is>
          <t>BOILERPLATE</t>
        </is>
      </c>
      <c r="J166" s="7" t="inlineStr">
        <is>
          <t>terms §10</t>
        </is>
      </c>
      <c r="K166" s="7" t="inlineStr">
        <is>
          <t>30</t>
        </is>
      </c>
      <c r="L166" s="7" t="inlineStr">
        <is>
          <t>Static</t>
        </is>
      </c>
      <c r="M166" s="7" t="inlineStr">
        <is>
          <t>No</t>
        </is>
      </c>
    </row>
    <row r="167">
      <c r="A167" s="7" t="inlineStr">
        <is>
          <t>M. Terms</t>
        </is>
      </c>
      <c r="B167" s="7" t="inlineStr">
        <is>
          <t>tc_termination_convenience_fee_pct</t>
        </is>
      </c>
      <c r="C167" s="7" t="inlineStr">
        <is>
          <t>Termination for Convenience Fee %</t>
        </is>
      </c>
      <c r="D167" s="7" t="inlineStr">
        <is>
          <t>percent</t>
        </is>
      </c>
      <c r="E167" s="7" t="inlineStr">
        <is>
          <t>0.10</t>
        </is>
      </c>
      <c r="F167" s="7" t="inlineStr">
        <is>
          <t>G</t>
        </is>
      </c>
      <c r="G167" s="7" t="inlineStr">
        <is>
          <t>T&amp;C §10 (GC variant)</t>
        </is>
      </c>
      <c r="H167" s="7" t="inlineStr">
        <is>
          <t>Termination</t>
        </is>
      </c>
      <c r="I167" s="13" t="inlineStr">
        <is>
          <t>BOILERPLATE</t>
        </is>
      </c>
      <c r="J167" s="7" t="inlineStr">
        <is>
          <t>samples/sample-gc-k12-summer.md §10</t>
        </is>
      </c>
      <c r="K167" s="7" t="inlineStr">
        <is>
          <t>10% on unearned balance</t>
        </is>
      </c>
      <c r="L167" s="7" t="inlineStr">
        <is>
          <t>Static</t>
        </is>
      </c>
      <c r="M167" s="7" t="inlineStr">
        <is>
          <t>No</t>
        </is>
      </c>
    </row>
    <row r="168">
      <c r="A168" s="7" t="inlineStr">
        <is>
          <t>M. Terms</t>
        </is>
      </c>
      <c r="B168" s="7" t="inlineStr">
        <is>
          <t>tc_governing_law</t>
        </is>
      </c>
      <c r="C168" s="7" t="inlineStr">
        <is>
          <t>Governing Law (state)</t>
        </is>
      </c>
      <c r="D168" s="7" t="inlineStr">
        <is>
          <t>string</t>
        </is>
      </c>
      <c r="E168" s="7" t="inlineStr">
        <is>
          <t>Missouri</t>
        </is>
      </c>
      <c r="F168" s="7" t="inlineStr">
        <is>
          <t>G, O, R</t>
        </is>
      </c>
      <c r="G168" s="7" t="inlineStr">
        <is>
          <t>T&amp;C §11</t>
        </is>
      </c>
      <c r="H168" s="7" t="inlineStr">
        <is>
          <t>Dispute Resolution</t>
        </is>
      </c>
      <c r="I168" s="13" t="inlineStr">
        <is>
          <t>BOILERPLATE</t>
        </is>
      </c>
      <c r="J168" s="7" t="inlineStr">
        <is>
          <t>terms §11</t>
        </is>
      </c>
      <c r="K168" s="7" t="inlineStr">
        <is>
          <t>Static — Missouri</t>
        </is>
      </c>
      <c r="L168" s="7" t="inlineStr">
        <is>
          <t>—</t>
        </is>
      </c>
      <c r="M168" s="7" t="inlineStr">
        <is>
          <t>No</t>
        </is>
      </c>
    </row>
    <row r="169">
      <c r="A169" s="7" t="inlineStr">
        <is>
          <t>M. Terms</t>
        </is>
      </c>
      <c r="B169" s="7" t="inlineStr">
        <is>
          <t>tc_venue</t>
        </is>
      </c>
      <c r="C169" s="7" t="inlineStr">
        <is>
          <t>Legal Venue (county)</t>
        </is>
      </c>
      <c r="D169" s="7" t="inlineStr">
        <is>
          <t>string</t>
        </is>
      </c>
      <c r="E169" s="7" t="inlineStr">
        <is>
          <t>St. Charles County, Missouri</t>
        </is>
      </c>
      <c r="F169" s="7" t="inlineStr">
        <is>
          <t>G, O, R</t>
        </is>
      </c>
      <c r="G169" s="7" t="inlineStr">
        <is>
          <t>T&amp;C §11</t>
        </is>
      </c>
      <c r="H169" s="7" t="inlineStr">
        <is>
          <t>Dispute Resolution</t>
        </is>
      </c>
      <c r="I169" s="13" t="inlineStr">
        <is>
          <t>BOILERPLATE</t>
        </is>
      </c>
      <c r="J169" s="7" t="inlineStr">
        <is>
          <t>terms §11</t>
        </is>
      </c>
      <c r="K169" s="7" t="inlineStr">
        <is>
          <t>Static</t>
        </is>
      </c>
      <c r="L169" s="7" t="inlineStr">
        <is>
          <t>—</t>
        </is>
      </c>
      <c r="M169" s="7" t="inlineStr">
        <is>
          <t>No</t>
        </is>
      </c>
    </row>
    <row r="170">
      <c r="A170" s="7" t="inlineStr">
        <is>
          <t>M. Terms</t>
        </is>
      </c>
      <c r="B170" s="7" t="inlineStr">
        <is>
          <t>tc_dispute_process</t>
        </is>
      </c>
      <c r="C170" s="7" t="inlineStr">
        <is>
          <t>Dispute Resolution Process</t>
        </is>
      </c>
      <c r="D170" s="7" t="inlineStr">
        <is>
          <t>string</t>
        </is>
      </c>
      <c r="E170" s="7" t="inlineStr">
        <is>
          <t>Good-faith negotiation → non-binding mediation in O'Fallon MO → AAA Construction arbitration</t>
        </is>
      </c>
      <c r="F170" s="7" t="inlineStr">
        <is>
          <t>G, O, R</t>
        </is>
      </c>
      <c r="G170" s="7" t="inlineStr">
        <is>
          <t>T&amp;C §11</t>
        </is>
      </c>
      <c r="H170" s="7" t="inlineStr">
        <is>
          <t>Dispute Resolution</t>
        </is>
      </c>
      <c r="I170" s="13" t="inlineStr">
        <is>
          <t>BOILERPLATE</t>
        </is>
      </c>
      <c r="J170" s="7" t="inlineStr">
        <is>
          <t>terms §11</t>
        </is>
      </c>
      <c r="K170" s="7" t="inlineStr">
        <is>
          <t>Static</t>
        </is>
      </c>
      <c r="L170" s="7" t="inlineStr">
        <is>
          <t>—</t>
        </is>
      </c>
      <c r="M170" s="7" t="inlineStr">
        <is>
          <t>No</t>
        </is>
      </c>
    </row>
    <row r="171">
      <c r="A171" s="7" t="inlineStr">
        <is>
          <t>M. Terms</t>
        </is>
      </c>
      <c r="B171" s="7" t="inlineStr">
        <is>
          <t>tc_lien_statute</t>
        </is>
      </c>
      <c r="C171" s="7" t="inlineStr">
        <is>
          <t>Missouri Lien Statute Reference</t>
        </is>
      </c>
      <c r="D171" s="7" t="inlineStr">
        <is>
          <t>string</t>
        </is>
      </c>
      <c r="E171" s="7" t="inlineStr">
        <is>
          <t>RSMo Chapter 429</t>
        </is>
      </c>
      <c r="F171" s="7" t="inlineStr">
        <is>
          <t>G, O</t>
        </is>
      </c>
      <c r="G171" s="7" t="inlineStr">
        <is>
          <t>T&amp;C §6</t>
        </is>
      </c>
      <c r="H171" s="7" t="inlineStr">
        <is>
          <t>Lien Rights</t>
        </is>
      </c>
      <c r="I171" s="13" t="inlineStr">
        <is>
          <t>BOILERPLATE</t>
        </is>
      </c>
      <c r="J171" s="7" t="inlineStr">
        <is>
          <t>terms §6</t>
        </is>
      </c>
      <c r="K171" s="7" t="inlineStr">
        <is>
          <t>Static</t>
        </is>
      </c>
      <c r="L171" s="7" t="inlineStr">
        <is>
          <t>—</t>
        </is>
      </c>
      <c r="M171" s="7" t="inlineStr">
        <is>
          <t>No</t>
        </is>
      </c>
    </row>
    <row r="172">
      <c r="A172" s="7" t="inlineStr">
        <is>
          <t>M. Terms</t>
        </is>
      </c>
      <c r="B172" s="7" t="inlineStr">
        <is>
          <t>tc_osha_installer</t>
        </is>
      </c>
      <c r="C172" s="7" t="inlineStr">
        <is>
          <t>OSHA Level — Installer</t>
        </is>
      </c>
      <c r="D172" s="7" t="inlineStr">
        <is>
          <t>string</t>
        </is>
      </c>
      <c r="E172" s="7" t="inlineStr">
        <is>
          <t>OSHA 10</t>
        </is>
      </c>
      <c r="F172" s="7" t="inlineStr">
        <is>
          <t>G, O, R</t>
        </is>
      </c>
      <c r="G172" s="7" t="inlineStr">
        <is>
          <t>T&amp;C §12</t>
        </is>
      </c>
      <c r="H172" s="7" t="inlineStr">
        <is>
          <t>Safety</t>
        </is>
      </c>
      <c r="I172" s="13" t="inlineStr">
        <is>
          <t>BOILERPLATE</t>
        </is>
      </c>
      <c r="J172" s="7" t="inlineStr">
        <is>
          <t>terms §12 + components/team</t>
        </is>
      </c>
      <c r="K172" s="7" t="inlineStr">
        <is>
          <t>—</t>
        </is>
      </c>
      <c r="L172" s="7" t="inlineStr">
        <is>
          <t>Static</t>
        </is>
      </c>
      <c r="M172" s="7" t="inlineStr">
        <is>
          <t>No</t>
        </is>
      </c>
    </row>
    <row r="173">
      <c r="A173" s="7" t="inlineStr">
        <is>
          <t>M. Terms</t>
        </is>
      </c>
      <c r="B173" s="7" t="inlineStr">
        <is>
          <t>tc_osha_supervisor</t>
        </is>
      </c>
      <c r="C173" s="7" t="inlineStr">
        <is>
          <t>OSHA Level — Supervisor/Foreman</t>
        </is>
      </c>
      <c r="D173" s="7" t="inlineStr">
        <is>
          <t>string</t>
        </is>
      </c>
      <c r="E173" s="7" t="inlineStr">
        <is>
          <t>OSHA 30</t>
        </is>
      </c>
      <c r="F173" s="7" t="inlineStr">
        <is>
          <t>G, O, R</t>
        </is>
      </c>
      <c r="G173" s="7" t="inlineStr">
        <is>
          <t>T&amp;C §12</t>
        </is>
      </c>
      <c r="H173" s="7" t="inlineStr">
        <is>
          <t>Safety</t>
        </is>
      </c>
      <c r="I173" s="13" t="inlineStr">
        <is>
          <t>BOILERPLATE</t>
        </is>
      </c>
      <c r="J173" s="7" t="inlineStr">
        <is>
          <t>terms §12</t>
        </is>
      </c>
      <c r="K173" s="7" t="inlineStr">
        <is>
          <t>—</t>
        </is>
      </c>
      <c r="L173" s="7" t="inlineStr">
        <is>
          <t>Static</t>
        </is>
      </c>
      <c r="M173" s="7" t="inlineStr">
        <is>
          <t>No</t>
        </is>
      </c>
    </row>
    <row r="174">
      <c r="A174" s="7" t="inlineStr">
        <is>
          <t>M. Terms</t>
        </is>
      </c>
      <c r="B174" s="7" t="inlineStr">
        <is>
          <t>tc_two_person_minimum</t>
        </is>
      </c>
      <c r="C174" s="7" t="inlineStr">
        <is>
          <t>Two-Person Crew Minimum Rule</t>
        </is>
      </c>
      <c r="D174" s="7" t="inlineStr">
        <is>
          <t>string</t>
        </is>
      </c>
      <c r="E174" s="7" t="inlineStr">
        <is>
          <t>Two-person minimum at all times; never solo</t>
        </is>
      </c>
      <c r="F174" s="7" t="inlineStr">
        <is>
          <t>G, O, R</t>
        </is>
      </c>
      <c r="G174" s="7" t="inlineStr">
        <is>
          <t>T&amp;C §12, §05 (residential)</t>
        </is>
      </c>
      <c r="H174" s="7" t="inlineStr">
        <is>
          <t>Safety / Crew</t>
        </is>
      </c>
      <c r="I174" s="13" t="inlineStr">
        <is>
          <t>BOILERPLATE</t>
        </is>
      </c>
      <c r="J174" s="7" t="inlineStr">
        <is>
          <t>terms §12 + team-and-leadership §'Crew'</t>
        </is>
      </c>
      <c r="K174" s="7" t="inlineStr">
        <is>
          <t>—</t>
        </is>
      </c>
      <c r="L174" s="7" t="inlineStr">
        <is>
          <t>Static</t>
        </is>
      </c>
      <c r="M174" s="7" t="inlineStr">
        <is>
          <t>No</t>
        </is>
      </c>
    </row>
    <row r="175">
      <c r="A175" s="5" t="inlineStr">
        <is>
          <t>N. Acceptance</t>
        </is>
      </c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>
      <c r="A176" s="7" t="inlineStr">
        <is>
          <t>N. Acceptance</t>
        </is>
      </c>
      <c r="B176" s="7" t="inlineStr">
        <is>
          <t>acceptance_signer_org</t>
        </is>
      </c>
      <c r="C176" s="7" t="inlineStr">
        <is>
          <t>Accepting Party (displayed)</t>
        </is>
      </c>
      <c r="D176" s="7" t="inlineStr">
        <is>
          <t>string</t>
        </is>
      </c>
      <c r="E176" s="7" t="inlineStr">
        <is>
          <t>Meyer Construction / Clayton Dental Group / Sarah Chen</t>
        </is>
      </c>
      <c r="F176" s="7" t="inlineStr">
        <is>
          <t>G, O, R</t>
        </is>
      </c>
      <c r="G176" s="7" t="inlineStr">
        <is>
          <t>§11 Acceptance</t>
        </is>
      </c>
      <c r="H176" s="7" t="inlineStr">
        <is>
          <t>Acceptance block</t>
        </is>
      </c>
      <c r="I176" s="10" t="inlineStr">
        <is>
          <t>COMPUTED</t>
        </is>
      </c>
      <c r="J176" s="7" t="inlineStr">
        <is>
          <t>gc_company_name OR client_company_name OR homeowner_name</t>
        </is>
      </c>
      <c r="K176" s="7" t="inlineStr">
        <is>
          <t>Pulled per template</t>
        </is>
      </c>
      <c r="L176" s="7" t="inlineStr">
        <is>
          <t>—</t>
        </is>
      </c>
      <c r="M176" s="7" t="inlineStr">
        <is>
          <t>No</t>
        </is>
      </c>
    </row>
    <row r="177">
      <c r="A177" s="7" t="inlineStr">
        <is>
          <t>N. Acceptance</t>
        </is>
      </c>
      <c r="B177" s="7" t="inlineStr">
        <is>
          <t>acceptance_price_displayed</t>
        </is>
      </c>
      <c r="C177" s="7" t="inlineStr">
        <is>
          <t>Price Shown in Acceptance Statement</t>
        </is>
      </c>
      <c r="D177" s="7" t="inlineStr">
        <is>
          <t>currency USD</t>
        </is>
      </c>
      <c r="E177" s="7" t="inlineStr">
        <is>
          <t>387400 / 42600 / 14850</t>
        </is>
      </c>
      <c r="F177" s="7" t="inlineStr">
        <is>
          <t>G, O, R</t>
        </is>
      </c>
      <c r="G177" s="7" t="inlineStr">
        <is>
          <t>§11 Acceptance</t>
        </is>
      </c>
      <c r="H177" s="7" t="inlineStr">
        <is>
          <t>Acceptance block</t>
        </is>
      </c>
      <c r="I177" s="10" t="inlineStr">
        <is>
          <t>COMPUTED</t>
        </is>
      </c>
      <c r="J177" s="7" t="inlineStr">
        <is>
          <t>base_bid_amount (GC) OR total_price (O/R)</t>
        </is>
      </c>
      <c r="K177" s="7" t="inlineStr">
        <is>
          <t>—</t>
        </is>
      </c>
      <c r="L177" s="7" t="inlineStr">
        <is>
          <t>—</t>
        </is>
      </c>
      <c r="M177" s="7" t="inlineStr">
        <is>
          <t>No</t>
        </is>
      </c>
    </row>
    <row r="178">
      <c r="A178" s="7" t="inlineStr">
        <is>
          <t>N. Acceptance</t>
        </is>
      </c>
      <c r="B178" s="7" t="inlineStr">
        <is>
          <t>acceptance_signature_line</t>
        </is>
      </c>
      <c r="C178" s="7" t="inlineStr">
        <is>
          <t>Signature / Name / Title / Date lines</t>
        </is>
      </c>
      <c r="D178" s="7" t="inlineStr">
        <is>
          <t>layout block</t>
        </is>
      </c>
      <c r="E178" s="7" t="inlineStr">
        <is>
          <t>4 blank signature lines</t>
        </is>
      </c>
      <c r="F178" s="7" t="inlineStr">
        <is>
          <t>G, O, R</t>
        </is>
      </c>
      <c r="G178" s="7" t="inlineStr">
        <is>
          <t>§11 Acceptance</t>
        </is>
      </c>
      <c r="H178" s="7" t="inlineStr">
        <is>
          <t>Acceptance block</t>
        </is>
      </c>
      <c r="I178" s="13" t="inlineStr">
        <is>
          <t>BOILERPLATE</t>
        </is>
      </c>
      <c r="J178" s="7" t="inlineStr">
        <is>
          <t>templates §11</t>
        </is>
      </c>
      <c r="K178" s="7" t="inlineStr">
        <is>
          <t>—</t>
        </is>
      </c>
      <c r="L178" s="7" t="inlineStr">
        <is>
          <t>—</t>
        </is>
      </c>
      <c r="M178" s="7" t="inlineStr">
        <is>
          <t>No</t>
        </is>
      </c>
    </row>
    <row r="179">
      <c r="A179" s="5" t="inlineStr">
        <is>
          <t>O. Workflow Meta</t>
        </is>
      </c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>
      <c r="A180" s="7" t="inlineStr">
        <is>
          <t>O. Workflow Meta</t>
        </is>
      </c>
      <c r="B180" s="7" t="inlineStr">
        <is>
          <t>proposal_template_choice</t>
        </is>
      </c>
      <c r="C180" s="7" t="inlineStr">
        <is>
          <t>Template to Render</t>
        </is>
      </c>
      <c r="D180" s="7" t="inlineStr">
        <is>
          <t>enum</t>
        </is>
      </c>
      <c r="E180" s="7" t="inlineStr">
        <is>
          <t>gc-subcontractor-bid</t>
        </is>
      </c>
      <c r="F180" s="7" t="inlineStr">
        <is>
          <t>G, O, R</t>
        </is>
      </c>
      <c r="G180" s="7" t="inlineStr">
        <is>
          <t>(meta)</t>
        </is>
      </c>
      <c r="H180" s="7" t="inlineStr">
        <is>
          <t>(render engine)</t>
        </is>
      </c>
      <c r="I180" s="8" t="inlineStr">
        <is>
          <t>MINI-CALC</t>
        </is>
      </c>
      <c r="J180" s="7" t="inlineStr">
        <is>
          <t>Template selector</t>
        </is>
      </c>
      <c r="K180" s="7" t="inlineStr">
        <is>
          <t>Required</t>
        </is>
      </c>
      <c r="L180" s="7" t="inlineStr">
        <is>
          <t>Required</t>
        </is>
      </c>
      <c r="M180" s="7" t="inlineStr">
        <is>
          <t>Yes — template</t>
        </is>
      </c>
    </row>
    <row r="181">
      <c r="A181" s="7" t="inlineStr">
        <is>
          <t>O. Workflow Meta</t>
        </is>
      </c>
      <c r="B181" s="7" t="inlineStr">
        <is>
          <t>output_formats</t>
        </is>
      </c>
      <c r="C181" s="7" t="inlineStr">
        <is>
          <t>Output Formats to Generate</t>
        </is>
      </c>
      <c r="D181" s="7" t="inlineStr">
        <is>
          <t>multi-select enum</t>
        </is>
      </c>
      <c r="E181" s="7" t="inlineStr">
        <is>
          <t>[pdf, html, xlsx]</t>
        </is>
      </c>
      <c r="F181" s="7" t="inlineStr">
        <is>
          <t>G, O, R, B, X</t>
        </is>
      </c>
      <c r="G181" s="7" t="inlineStr">
        <is>
          <t>(meta)</t>
        </is>
      </c>
      <c r="H181" s="7" t="inlineStr">
        <is>
          <t>(render engine)</t>
        </is>
      </c>
      <c r="I181" s="8" t="inlineStr">
        <is>
          <t>MINI-CALC</t>
        </is>
      </c>
      <c r="J181" s="7" t="inlineStr">
        <is>
          <t>Output format checkboxes</t>
        </is>
      </c>
      <c r="K181" s="7" t="inlineStr">
        <is>
          <t>Required</t>
        </is>
      </c>
      <c r="L181" s="7" t="inlineStr">
        <is>
          <t>Min 1</t>
        </is>
      </c>
      <c r="M181" s="7" t="inlineStr">
        <is>
          <t>Yes — formats</t>
        </is>
      </c>
    </row>
    <row r="182">
      <c r="A182" s="7" t="inlineStr">
        <is>
          <t>O. Workflow Meta</t>
        </is>
      </c>
      <c r="B182" s="7" t="inlineStr">
        <is>
          <t>analogy_selected</t>
        </is>
      </c>
      <c r="C182" s="7" t="inlineStr">
        <is>
          <t>Client-Industry Analogy (Owner only)</t>
        </is>
      </c>
      <c r="D182" s="7" t="inlineStr">
        <is>
          <t>string</t>
        </is>
      </c>
      <c r="E182" s="7" t="inlineStr">
        <is>
          <t>"Pressure test for plumbing, but for data cable"</t>
        </is>
      </c>
      <c r="F182" s="7" t="inlineStr">
        <is>
          <t>O</t>
        </is>
      </c>
      <c r="G182" s="7" t="inlineStr">
        <is>
          <t>Owner §04</t>
        </is>
      </c>
      <c r="H182" s="7" t="inlineStr">
        <is>
          <t>Cover letter or §04 explainer</t>
        </is>
      </c>
      <c r="I182" s="10" t="inlineStr">
        <is>
          <t>COMPUTED</t>
        </is>
      </c>
      <c r="J182" s="7" t="inlineStr">
        <is>
          <t>Map from client_industry to approved analogy list</t>
        </is>
      </c>
      <c r="K182" s="7" t="inlineStr">
        <is>
          <t>Max 1 per letter (voice rule)</t>
        </is>
      </c>
      <c r="L182" s="7" t="inlineStr">
        <is>
          <t>Optional</t>
        </is>
      </c>
      <c r="M182" s="7" t="inlineStr">
        <is>
          <t>Yes — analogy</t>
        </is>
      </c>
    </row>
    <row r="183">
      <c r="A183" s="7" t="inlineStr">
        <is>
          <t>O. Workflow Meta</t>
        </is>
      </c>
      <c r="B183" s="7" t="inlineStr">
        <is>
          <t>tone_override</t>
        </is>
      </c>
      <c r="C183" s="7" t="inlineStr">
        <is>
          <t>Tone Override (optional)</t>
        </is>
      </c>
      <c r="D183" s="7" t="inlineStr">
        <is>
          <t>enum</t>
        </is>
      </c>
      <c r="E183" s="7" t="inlineStr">
        <is>
          <t>(blank)</t>
        </is>
      </c>
      <c r="F183" s="7" t="inlineStr">
        <is>
          <t>G, O, R</t>
        </is>
      </c>
      <c r="G183" s="7" t="inlineStr">
        <is>
          <t>(meta)</t>
        </is>
      </c>
      <c r="H183" s="7" t="inlineStr">
        <is>
          <t>Render engine</t>
        </is>
      </c>
      <c r="I183" s="8" t="inlineStr">
        <is>
          <t>MINI-CALC</t>
        </is>
      </c>
      <c r="J183" s="7" t="inlineStr">
        <is>
          <t>Tone override</t>
        </is>
      </c>
      <c r="K183" s="7" t="inlineStr">
        <is>
          <t>Defaults to template tone</t>
        </is>
      </c>
      <c r="L183" s="7" t="inlineStr">
        <is>
          <t>Optional</t>
        </is>
      </c>
      <c r="M183" s="7" t="inlineStr">
        <is>
          <t>Yes — tone</t>
        </is>
      </c>
    </row>
    <row r="184">
      <c r="A184" s="7" t="inlineStr">
        <is>
          <t>O. Workflow Meta</t>
        </is>
      </c>
      <c r="B184" s="7" t="inlineStr">
        <is>
          <t>voice_rules_version</t>
        </is>
      </c>
      <c r="C184" s="7" t="inlineStr">
        <is>
          <t>Voice Rules Version Applied</t>
        </is>
      </c>
      <c r="D184" s="7" t="inlineStr">
        <is>
          <t>string</t>
        </is>
      </c>
      <c r="E184" s="7" t="inlineStr">
        <is>
          <t>v1 (2026-04-20)</t>
        </is>
      </c>
      <c r="F184" s="7" t="inlineStr">
        <is>
          <t>G, O, R</t>
        </is>
      </c>
      <c r="G184" s="7" t="inlineStr">
        <is>
          <t>(meta)</t>
        </is>
      </c>
      <c r="H184" s="7" t="inlineStr">
        <is>
          <t>Render engine</t>
        </is>
      </c>
      <c r="I184" s="13" t="inlineStr">
        <is>
          <t>BOILERPLATE</t>
        </is>
      </c>
      <c r="J184" s="7" t="inlineStr">
        <is>
          <t>components/voice-rules.md</t>
        </is>
      </c>
      <c r="K184" s="7" t="inlineStr">
        <is>
          <t>Static — update on major revision</t>
        </is>
      </c>
      <c r="L184" s="7" t="inlineStr">
        <is>
          <t>—</t>
        </is>
      </c>
      <c r="M184" s="7" t="inlineStr">
        <is>
          <t>No</t>
        </is>
      </c>
    </row>
  </sheetData>
  <autoFilter ref="A1:M184"/>
  <mergeCells count="15">
    <mergeCell ref="A90:M90"/>
    <mergeCell ref="A14:M14"/>
    <mergeCell ref="A66:M66"/>
    <mergeCell ref="A45:M45"/>
    <mergeCell ref="A61:M61"/>
    <mergeCell ref="A159:M159"/>
    <mergeCell ref="A175:M175"/>
    <mergeCell ref="A129:M129"/>
    <mergeCell ref="A146:M146"/>
    <mergeCell ref="A179:M179"/>
    <mergeCell ref="A57:M57"/>
    <mergeCell ref="A38:M38"/>
    <mergeCell ref="A2:M2"/>
    <mergeCell ref="A82:M82"/>
    <mergeCell ref="A115:M1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30" customWidth="1" min="3" max="3"/>
  </cols>
  <sheetData>
    <row r="1">
      <c r="A1" s="4" t="inlineStr">
        <is>
          <t>Output Document</t>
        </is>
      </c>
      <c r="B1" s="4" t="inlineStr">
        <is>
          <t>What it is + Styling Notes</t>
        </is>
      </c>
      <c r="C1" s="4" t="inlineStr">
        <is>
          <t>Which Master Crosswalk rows feed it</t>
        </is>
      </c>
    </row>
    <row r="2" ht="60" customHeight="1">
      <c r="A2" s="14" t="inlineStr">
        <is>
          <t>GC Subcontractor Bid</t>
        </is>
      </c>
      <c r="B2" s="7" t="inlineStr">
        <is>
          <t>templates/template-gc-subcontractor-bid.md — 12–16 pages — signed by Kaitlyn. Flag: GCC-branded Forest Green hero. 44pt Base Bid. Always includes MS alternate A1, D1 weekend deduct, loyalty discount if applicable.</t>
        </is>
      </c>
      <c r="C2" s="7" t="inlineStr">
        <is>
          <t>Every row with 'G' in 'Required For'</t>
        </is>
      </c>
    </row>
    <row r="3" ht="60" customHeight="1">
      <c r="A3" s="14" t="inlineStr">
        <is>
          <t>Owner / End-Client Direct Quote</t>
        </is>
      </c>
      <c r="B3" s="7" t="inlineStr">
        <is>
          <t>templates/template-owner-direct-proposal.md — 10–14 pages. Warmer tone. 22pt Total Price hero. Three-row investment summary (Install / Equipment / Total). MS alternate monthly.</t>
        </is>
      </c>
      <c r="C3" s="7" t="inlineStr">
        <is>
          <t>Every row with 'O' in 'Required For'</t>
        </is>
      </c>
    </row>
    <row r="4" ht="60" customHeight="1">
      <c r="A4" s="14" t="inlineStr">
        <is>
          <t>Residential Homeowner Proposal</t>
        </is>
      </c>
      <c r="B4" s="7" t="inlineStr">
        <is>
          <t>templates/template-residential-homeowner.md — 6–10 pages. Conversational. 'Hi {first_name}' opener. 22pt Total Price hero. 30/40/30 payment schedule. Plain-English differentiators.</t>
        </is>
      </c>
      <c r="C4" s="7" t="inlineStr">
        <is>
          <t>Every row with 'R' in 'Required For'</t>
        </is>
      </c>
    </row>
    <row r="5" ht="60" customHeight="1">
      <c r="A5" s="14" t="inlineStr">
        <is>
          <t>Bundle Proposal (HTML export)</t>
        </is>
      </c>
      <c r="B5" s="7" t="inlineStr">
        <is>
          <t>bundle-builder.html Export HTML — standalone shareable proposal with inline CSS. Same meta + line items + branded totals. Emailable / link-shareable.</t>
        </is>
      </c>
      <c r="C5" s="7" t="inlineStr">
        <is>
          <t>Every row with 'B' in 'Required For'</t>
        </is>
      </c>
    </row>
    <row r="6" ht="60" customHeight="1">
      <c r="A6" s="14" t="inlineStr">
        <is>
          <t>Bundle Pricing Sheet (XLSX)</t>
        </is>
      </c>
      <c r="B6" s="7" t="inlineStr">
        <is>
          <t>bundle-builder.html Export Excel — two tabs: Summary + Line Items. Currency formatting on cost/sale/extended. Use this when a GC wants a priced BOM in a spreadsheet.</t>
        </is>
      </c>
      <c r="C6" s="7" t="inlineStr">
        <is>
          <t>Every row with 'X' in 'Required For'</t>
        </is>
      </c>
    </row>
    <row r="7" ht="60" customHeight="1">
      <c r="A7" s="14" t="inlineStr">
        <is>
          <t>Acceptance Page (last page, all)</t>
        </is>
      </c>
      <c r="B7" s="7" t="inlineStr">
        <is>
          <t>§11 on every template. Signature / Name / Title / Date. Acceptance statement references accepting party + price.</t>
        </is>
      </c>
      <c r="C7" s="7" t="inlineStr">
        <is>
          <t>Rows in category N. Acceptance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16" customWidth="1" min="3" max="3"/>
    <col width="70" customWidth="1" min="4" max="4"/>
  </cols>
  <sheetData>
    <row r="1">
      <c r="A1" s="4" t="inlineStr">
        <is>
          <t>Source System</t>
        </is>
      </c>
      <c r="B1" s="4" t="inlineStr">
        <is>
          <t>Description</t>
        </is>
      </c>
      <c r="C1" s="4" t="inlineStr">
        <is>
          <t>Count of Fields</t>
        </is>
      </c>
      <c r="D1" s="4" t="inlineStr">
        <is>
          <t>Representative Fields (examples)</t>
        </is>
      </c>
    </row>
    <row r="2" ht="48" customHeight="1">
      <c r="A2" s="14" t="inlineStr">
        <is>
          <t>MINI-CALC</t>
        </is>
      </c>
      <c r="B2" s="7" t="inlineStr">
        <is>
          <t>The web intake form (mini-calculator) — fields the user enters at proposal time that are opportunity-specific and not known from prior systems.</t>
        </is>
      </c>
      <c r="C2" s="7">
        <f>COUNTIF('Master Crosswalk'!I:I,"MINI-CALC")</f>
        <v/>
      </c>
      <c r="D2" s="7" t="inlineStr">
        <is>
          <t>project_name, project_address, project_type, client_industry, vertical, project_specific_hook … (35 total)</t>
        </is>
      </c>
    </row>
    <row r="3" ht="48" customHeight="1">
      <c r="A3" s="14" t="inlineStr">
        <is>
          <t>JEM</t>
        </is>
      </c>
      <c r="B3" s="7" t="inlineStr">
        <is>
          <t>Jobs Extract Master — your master spreadsheet of accounts, contacts, loyalty flags, and deal context. Pre-populated before the form opens.</t>
        </is>
      </c>
      <c r="C3" s="7">
        <f>COUNTIF('Master Crosswalk'!I:I,"JEM")</f>
        <v/>
      </c>
      <c r="D3" s="7" t="inlineStr">
        <is>
          <t>gc_company_name, gc_estimator_name, gc_estimator_title, gc_estimator_email, loyalty_discount_applicable</t>
        </is>
      </c>
    </row>
    <row r="4" ht="48" customHeight="1">
      <c r="A4" s="14" t="inlineStr">
        <is>
          <t>BUNDLE</t>
        </is>
      </c>
      <c r="B4" s="7" t="inlineStr">
        <is>
          <t>Bundle Builder line items — pulled from bundle-builder.html when the user composes the BOM. Drives counts, quantified_items, subtotals, equipment_total.</t>
        </is>
      </c>
      <c r="C4" s="7">
        <f>COUNTIF('Master Crosswalk'!I:I,"BUNDLE")</f>
        <v/>
      </c>
      <c r="D4" s="7" t="inlineStr">
        <is>
          <t>base_bid_amount, installation_total, equipment_total, total_price, quantified_items, equipment_items … (31 total)</t>
        </is>
      </c>
    </row>
    <row r="5" ht="48" customHeight="1">
      <c r="A5" s="14" t="inlineStr">
        <is>
          <t>WIX</t>
        </is>
      </c>
      <c r="B5" s="7" t="inlineStr">
        <is>
          <t>Wix CMS collections — currently: projects, verticals, partners, leadership, services, Submissions, Equipment, Materials, Services. Look up by filter (e.g., vertical match) at render time.</t>
        </is>
      </c>
      <c r="C5" s="7">
        <f>COUNTIF('Master Crosswalk'!I:I,"WIX")</f>
        <v/>
      </c>
      <c r="D5" s="7" t="inlineStr">
        <is>
          <t>relevant_projects, reference_1_name, reference_1_gc_name, reference_1_scope_summary, reference_2_name, reference_2_gc_name … (10 total)</t>
        </is>
      </c>
    </row>
    <row r="6" ht="48" customHeight="1">
      <c r="A6" s="14" t="inlineStr">
        <is>
          <t>COMPUTED</t>
        </is>
      </c>
      <c r="B6" s="7" t="inlineStr">
        <is>
          <t>Derived at generation time from other fields. See the Computed Fields sheet for the full formula list.</t>
        </is>
      </c>
      <c r="C6" s="7">
        <f>COUNTIF('Master Crosswalk'!I:I,"COMPUTED")</f>
        <v/>
      </c>
      <c r="D6" s="7" t="inlineStr">
        <is>
          <t>homeowner_first_name, proposal_date, validity_date, gcc_bid_number, substantial_completion_date, schedule_weekend_buffer_days … (26 total)</t>
        </is>
      </c>
    </row>
    <row r="7" ht="48" customHeight="1">
      <c r="A7" s="14" t="inlineStr">
        <is>
          <t>BOILERPLATE</t>
        </is>
      </c>
      <c r="B7" s="7" t="inlineStr">
        <is>
          <t>Static text pulled verbatim from components/, scope-library/, pricing/, schedule/, or terms/. Not entered per-proposal; updates ripple through all future proposals.</t>
        </is>
      </c>
      <c r="C7" s="7">
        <f>COUNTIF('Master Crosswalk'!I:I,"BOILERPLATE")</f>
        <v/>
      </c>
      <c r="D7" s="7" t="inlineStr">
        <is>
          <t>retention_pct_commercial, payment_net_days, credit_card_surcharge_pct, company_name, company_address, company_phone … (61 total)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  <col width="30" customWidth="1" min="4" max="4"/>
  </cols>
  <sheetData>
    <row r="1">
      <c r="A1" s="4" t="inlineStr">
        <is>
          <t>Vocab ID (dropdown)</t>
        </is>
      </c>
      <c r="B1" s="4" t="inlineStr">
        <is>
          <t>Accepted Value</t>
        </is>
      </c>
      <c r="C1" s="4" t="inlineStr">
        <is>
          <t>Description / When to use</t>
        </is>
      </c>
      <c r="D1" s="4" t="inlineStr">
        <is>
          <t>Downstream effect</t>
        </is>
      </c>
    </row>
    <row r="2">
      <c r="A2" s="7" t="inlineStr">
        <is>
          <t>proj_type</t>
        </is>
      </c>
      <c r="B2" s="7" t="inlineStr">
        <is>
          <t>new-construction</t>
        </is>
      </c>
      <c r="C2" s="7" t="inlineStr">
        <is>
          <t>New commercial ground-up building</t>
        </is>
      </c>
      <c r="D2" s="7" t="inlineStr">
        <is>
          <t>Drives schedule template T2</t>
        </is>
      </c>
    </row>
    <row r="3">
      <c r="A3" s="7" t="inlineStr">
        <is>
          <t>proj_type</t>
        </is>
      </c>
      <c r="B3" s="7" t="inlineStr">
        <is>
          <t>commercial-renovation</t>
        </is>
      </c>
      <c r="C3" s="7" t="inlineStr">
        <is>
          <t>Occupied / partial commercial rebuild</t>
        </is>
      </c>
      <c r="D3" s="7" t="inlineStr">
        <is>
          <t>Drives schedule template T3</t>
        </is>
      </c>
    </row>
    <row r="4">
      <c r="A4" s="7" t="inlineStr">
        <is>
          <t>proj_type</t>
        </is>
      </c>
      <c r="B4" s="7" t="inlineStr">
        <is>
          <t>K-12-summer</t>
        </is>
      </c>
      <c r="C4" s="7" t="inlineStr">
        <is>
          <t>School-year summer refresh window</t>
        </is>
      </c>
      <c r="D4" s="7" t="inlineStr">
        <is>
          <t>Drives schedule template T1</t>
        </is>
      </c>
    </row>
    <row r="5">
      <c r="A5" s="7" t="inlineStr">
        <is>
          <t>proj_type</t>
        </is>
      </c>
      <c r="B5" s="7" t="inlineStr">
        <is>
          <t>healthcare-occupied</t>
        </is>
      </c>
      <c r="C5" s="7" t="inlineStr">
        <is>
          <t>Occupied healthcare with ICRA</t>
        </is>
      </c>
      <c r="D5" s="7" t="inlineStr">
        <is>
          <t>Schedule template T3 + ICRA boilerplate</t>
        </is>
      </c>
    </row>
    <row r="6">
      <c r="A6" s="7" t="inlineStr">
        <is>
          <t>proj_type</t>
        </is>
      </c>
      <c r="B6" s="7" t="inlineStr">
        <is>
          <t>office-tenant</t>
        </is>
      </c>
      <c r="C6" s="7" t="inlineStr">
        <is>
          <t>Tenant buildout in existing space</t>
        </is>
      </c>
      <c r="D6" s="7" t="inlineStr">
        <is>
          <t>Schedule template T3</t>
        </is>
      </c>
    </row>
    <row r="7">
      <c r="A7" s="7" t="inlineStr">
        <is>
          <t>proj_type</t>
        </is>
      </c>
      <c r="B7" s="7" t="inlineStr">
        <is>
          <t>residential</t>
        </is>
      </c>
      <c r="C7" s="7" t="inlineStr">
        <is>
          <t>Single-family home</t>
        </is>
      </c>
      <c r="D7" s="7" t="inlineStr">
        <is>
          <t>Schedule template T4</t>
        </is>
      </c>
    </row>
    <row r="8">
      <c r="A8" s="7" t="inlineStr">
        <is>
          <t>industry</t>
        </is>
      </c>
      <c r="B8" s="7" t="inlineStr">
        <is>
          <t>dental</t>
        </is>
      </c>
      <c r="C8" s="7" t="inlineStr">
        <is>
          <t>Dental / orthodontic practice</t>
        </is>
      </c>
      <c r="D8" s="7" t="inlineStr">
        <is>
          <t>Analogy: pressure test / plumbing</t>
        </is>
      </c>
    </row>
    <row r="9">
      <c r="A9" s="7" t="inlineStr">
        <is>
          <t>industry</t>
        </is>
      </c>
      <c r="B9" s="7" t="inlineStr">
        <is>
          <t>medical-office</t>
        </is>
      </c>
      <c r="C9" s="7" t="inlineStr">
        <is>
          <t>Physician / specialty office</t>
        </is>
      </c>
      <c r="D9" s="7" t="inlineStr">
        <is>
          <t>Analogy: medical record workflow</t>
        </is>
      </c>
    </row>
    <row r="10">
      <c r="A10" s="7" t="inlineStr">
        <is>
          <t>industry</t>
        </is>
      </c>
      <c r="B10" s="7" t="inlineStr">
        <is>
          <t>healthcare</t>
        </is>
      </c>
      <c r="C10" s="7" t="inlineStr">
        <is>
          <t>Hospital / ASC / clinic</t>
        </is>
      </c>
      <c r="D10" s="7" t="inlineStr">
        <is>
          <t>Analogy: sterile field → tested cable</t>
        </is>
      </c>
    </row>
    <row r="11">
      <c r="A11" s="7" t="inlineStr">
        <is>
          <t>industry</t>
        </is>
      </c>
      <c r="B11" s="7" t="inlineStr">
        <is>
          <t>legal</t>
        </is>
      </c>
      <c r="C11" s="7" t="inlineStr">
        <is>
          <t>Law firm / legal practice</t>
        </is>
      </c>
      <c r="D11" s="7" t="inlineStr">
        <is>
          <t>Analogy: chain of custody</t>
        </is>
      </c>
    </row>
    <row r="12">
      <c r="A12" s="7" t="inlineStr">
        <is>
          <t>industry</t>
        </is>
      </c>
      <c r="B12" s="7" t="inlineStr">
        <is>
          <t>retail</t>
        </is>
      </c>
      <c r="C12" s="7" t="inlineStr">
        <is>
          <t>Retail storefront / franchise</t>
        </is>
      </c>
      <c r="D12" s="7" t="inlineStr">
        <is>
          <t>Analogy: POS uptime</t>
        </is>
      </c>
    </row>
    <row r="13">
      <c r="A13" s="7" t="inlineStr">
        <is>
          <t>industry</t>
        </is>
      </c>
      <c r="B13" s="7" t="inlineStr">
        <is>
          <t>k12</t>
        </is>
      </c>
      <c r="C13" s="7" t="inlineStr">
        <is>
          <t>K-12 school district</t>
        </is>
      </c>
      <c r="D13" s="7" t="inlineStr">
        <is>
          <t>Analogy: bell-schedule reliability</t>
        </is>
      </c>
    </row>
    <row r="14">
      <c r="A14" s="7" t="inlineStr">
        <is>
          <t>industry</t>
        </is>
      </c>
      <c r="B14" s="7" t="inlineStr">
        <is>
          <t>higher-ed</t>
        </is>
      </c>
      <c r="C14" s="7" t="inlineStr">
        <is>
          <t>College / university</t>
        </is>
      </c>
      <c r="D14" s="7" t="inlineStr">
        <is>
          <t>Analogy: research network</t>
        </is>
      </c>
    </row>
    <row r="15">
      <c r="A15" s="7" t="inlineStr">
        <is>
          <t>industry</t>
        </is>
      </c>
      <c r="B15" s="7" t="inlineStr">
        <is>
          <t>senior-living</t>
        </is>
      </c>
      <c r="C15" s="7" t="inlineStr">
        <is>
          <t>Senior living / long-term care</t>
        </is>
      </c>
      <c r="D15" s="7" t="inlineStr">
        <is>
          <t>Analogy: nurse-call reliability + ICRA</t>
        </is>
      </c>
    </row>
    <row r="16">
      <c r="A16" s="7" t="inlineStr">
        <is>
          <t>industry</t>
        </is>
      </c>
      <c r="B16" s="7" t="inlineStr">
        <is>
          <t>industrial</t>
        </is>
      </c>
      <c r="C16" s="7" t="inlineStr">
        <is>
          <t>Warehouse / manufacturing</t>
        </is>
      </c>
      <c r="D16" s="7" t="inlineStr">
        <is>
          <t>Analogy: forklift path planning</t>
        </is>
      </c>
    </row>
    <row r="17">
      <c r="A17" s="7" t="inlineStr">
        <is>
          <t>industry</t>
        </is>
      </c>
      <c r="B17" s="7" t="inlineStr">
        <is>
          <t>office</t>
        </is>
      </c>
      <c r="C17" s="7" t="inlineStr">
        <is>
          <t>General office building</t>
        </is>
      </c>
      <c r="D17" s="7" t="inlineStr">
        <is>
          <t>Analogy: HVAC commissioning</t>
        </is>
      </c>
    </row>
    <row r="18">
      <c r="A18" s="7" t="inlineStr">
        <is>
          <t>industry</t>
        </is>
      </c>
      <c r="B18" s="7" t="inlineStr">
        <is>
          <t>nonprofit</t>
        </is>
      </c>
      <c r="C18" s="7" t="inlineStr">
        <is>
          <t>Nonprofit / community org</t>
        </is>
      </c>
      <c r="D18" s="7" t="inlineStr">
        <is>
          <t>Analogy: grant-funded accountability</t>
        </is>
      </c>
    </row>
    <row r="19">
      <c r="A19" s="7" t="inlineStr">
        <is>
          <t>industry</t>
        </is>
      </c>
      <c r="B19" s="7" t="inlineStr">
        <is>
          <t>faith-based</t>
        </is>
      </c>
      <c r="C19" s="7" t="inlineStr">
        <is>
          <t>Church / temple / religious org</t>
        </is>
      </c>
      <c r="D19" s="7" t="inlineStr">
        <is>
          <t>Analogy: sanctuary acoustics</t>
        </is>
      </c>
    </row>
    <row r="20">
      <c r="A20" s="7" t="inlineStr">
        <is>
          <t>vertical</t>
        </is>
      </c>
      <c r="B20" s="7" t="inlineStr">
        <is>
          <t>K-12</t>
        </is>
      </c>
      <c r="C20" s="7" t="inlineStr">
        <is>
          <t>K-12 schools</t>
        </is>
      </c>
      <c r="D20" s="7" t="inlineStr">
        <is>
          <t>Filters Wix projects</t>
        </is>
      </c>
    </row>
    <row r="21">
      <c r="A21" s="7" t="inlineStr">
        <is>
          <t>vertical</t>
        </is>
      </c>
      <c r="B21" s="7" t="inlineStr">
        <is>
          <t>Higher-Ed</t>
        </is>
      </c>
      <c r="C21" s="7" t="inlineStr">
        <is>
          <t>Universities / colleges</t>
        </is>
      </c>
      <c r="D21" s="7" t="inlineStr">
        <is>
          <t>Filters Wix projects</t>
        </is>
      </c>
    </row>
    <row r="22">
      <c r="A22" s="7" t="inlineStr">
        <is>
          <t>vertical</t>
        </is>
      </c>
      <c r="B22" s="7" t="inlineStr">
        <is>
          <t>Healthcare</t>
        </is>
      </c>
      <c r="C22" s="7" t="inlineStr">
        <is>
          <t>Hospitals, clinics, ASCs</t>
        </is>
      </c>
      <c r="D22" s="7" t="inlineStr">
        <is>
          <t>Filters Wix projects</t>
        </is>
      </c>
    </row>
    <row r="23">
      <c r="A23" s="7" t="inlineStr">
        <is>
          <t>vertical</t>
        </is>
      </c>
      <c r="B23" s="7" t="inlineStr">
        <is>
          <t>Commercial-Office</t>
        </is>
      </c>
      <c r="C23" s="7" t="inlineStr">
        <is>
          <t>Office buildings &amp; tenant work</t>
        </is>
      </c>
      <c r="D23" s="7" t="inlineStr">
        <is>
          <t>Filters Wix projects</t>
        </is>
      </c>
    </row>
    <row r="24">
      <c r="A24" s="7" t="inlineStr">
        <is>
          <t>vertical</t>
        </is>
      </c>
      <c r="B24" s="7" t="inlineStr">
        <is>
          <t>Retail</t>
        </is>
      </c>
      <c r="C24" s="7" t="inlineStr">
        <is>
          <t>Retail / restaurant</t>
        </is>
      </c>
      <c r="D24" s="7" t="inlineStr">
        <is>
          <t>Filters Wix projects</t>
        </is>
      </c>
    </row>
    <row r="25">
      <c r="A25" s="7" t="inlineStr">
        <is>
          <t>vertical</t>
        </is>
      </c>
      <c r="B25" s="7" t="inlineStr">
        <is>
          <t>Residential</t>
        </is>
      </c>
      <c r="C25" s="7" t="inlineStr">
        <is>
          <t>Single-family</t>
        </is>
      </c>
      <c r="D25" s="7" t="inlineStr">
        <is>
          <t>Filters Wix projects</t>
        </is>
      </c>
    </row>
    <row r="26">
      <c r="A26" s="7" t="inlineStr">
        <is>
          <t>vertical</t>
        </is>
      </c>
      <c r="B26" s="7" t="inlineStr">
        <is>
          <t>Senior-Living</t>
        </is>
      </c>
      <c r="C26" s="7" t="inlineStr">
        <is>
          <t>Senior / assisted living</t>
        </is>
      </c>
      <c r="D26" s="7" t="inlineStr">
        <is>
          <t>Filters Wix projects</t>
        </is>
      </c>
    </row>
    <row r="27">
      <c r="A27" s="7" t="inlineStr">
        <is>
          <t>vertical</t>
        </is>
      </c>
      <c r="B27" s="7" t="inlineStr">
        <is>
          <t>Industrial</t>
        </is>
      </c>
      <c r="C27" s="7" t="inlineStr">
        <is>
          <t>Warehouse / manufacturing</t>
        </is>
      </c>
      <c r="D27" s="7" t="inlineStr">
        <is>
          <t>Filters Wix projects</t>
        </is>
      </c>
    </row>
    <row r="28">
      <c r="A28" s="7" t="inlineStr">
        <is>
          <t>services</t>
        </is>
      </c>
      <c r="B28" s="7" t="inlineStr">
        <is>
          <t>commercial-01-structured-cabling</t>
        </is>
      </c>
      <c r="C28" s="7" t="inlineStr">
        <is>
          <t>Cat6A, fiber, coax, terminations, Fluke cert</t>
        </is>
      </c>
      <c r="D28" s="7" t="inlineStr">
        <is>
          <t>Pulls scope_block_cabling</t>
        </is>
      </c>
    </row>
    <row r="29">
      <c r="A29" s="7" t="inlineStr">
        <is>
          <t>services</t>
        </is>
      </c>
      <c r="B29" s="7" t="inlineStr">
        <is>
          <t>commercial-02-electronic-security</t>
        </is>
      </c>
      <c r="C29" s="7" t="inlineStr">
        <is>
          <t>Cameras, access control, intrusion, intercom</t>
        </is>
      </c>
      <c r="D29" s="7" t="inlineStr">
        <is>
          <t>Pulls scope_block_security</t>
        </is>
      </c>
    </row>
    <row r="30">
      <c r="A30" s="7" t="inlineStr">
        <is>
          <t>services</t>
        </is>
      </c>
      <c r="B30" s="7" t="inlineStr">
        <is>
          <t>commercial-03-av-and-paging</t>
        </is>
      </c>
      <c r="C30" s="7" t="inlineStr">
        <is>
          <t>Displays, speakers, amps, mics, paging</t>
        </is>
      </c>
      <c r="D30" s="7" t="inlineStr">
        <is>
          <t>Pulls scope_block_av_paging</t>
        </is>
      </c>
    </row>
    <row r="31">
      <c r="A31" s="7" t="inlineStr">
        <is>
          <t>services</t>
        </is>
      </c>
      <c r="B31" s="7" t="inlineStr">
        <is>
          <t>commercial-04-telecom-room</t>
        </is>
      </c>
      <c r="C31" s="7" t="inlineStr">
        <is>
          <t>Rack, backboard, TMGB/TGB, ladder rack</t>
        </is>
      </c>
      <c r="D31" s="7" t="inlineStr">
        <is>
          <t>Pulls scope_block_telecom_room</t>
        </is>
      </c>
    </row>
    <row r="32">
      <c r="A32" s="7" t="inlineStr">
        <is>
          <t>services</t>
        </is>
      </c>
      <c r="B32" s="7" t="inlineStr">
        <is>
          <t>commercial-05-pathway-and-support</t>
        </is>
      </c>
      <c r="C32" s="7" t="inlineStr">
        <is>
          <t>J-hook, cable tray, conduit, firestop</t>
        </is>
      </c>
      <c r="D32" s="7" t="inlineStr">
        <is>
          <t>Pulls scope_block_pathway_support</t>
        </is>
      </c>
    </row>
    <row r="33">
      <c r="A33" s="7" t="inlineStr">
        <is>
          <t>services</t>
        </is>
      </c>
      <c r="B33" s="7" t="inlineStr">
        <is>
          <t>commercial-06-certification-and-documentation</t>
        </is>
      </c>
      <c r="C33" s="7" t="inlineStr">
        <is>
          <t>Fluke DSX-8000, OTDR, LinkWare PDF, as-builts</t>
        </is>
      </c>
      <c r="D33" s="7" t="inlineStr">
        <is>
          <t>Pulls scope_block_cert_docs</t>
        </is>
      </c>
    </row>
    <row r="34">
      <c r="A34" s="7" t="inlineStr">
        <is>
          <t>services</t>
        </is>
      </c>
      <c r="B34" s="7" t="inlineStr">
        <is>
          <t>commercial-07-project-management</t>
        </is>
      </c>
      <c r="C34" s="7" t="inlineStr">
        <is>
          <t>PM + RCDD, OAC, crew standards, closeout</t>
        </is>
      </c>
      <c r="D34" s="7" t="inlineStr">
        <is>
          <t>Pulls scope_block_project_mgmt</t>
        </is>
      </c>
    </row>
    <row r="35">
      <c r="A35" s="7" t="inlineStr">
        <is>
          <t>services</t>
        </is>
      </c>
      <c r="B35" s="7" t="inlineStr">
        <is>
          <t>residential-01-home-network</t>
        </is>
      </c>
      <c r="C35" s="7" t="inlineStr">
        <is>
          <t>Whole-home Cat6A + WiFi APs + panel</t>
        </is>
      </c>
      <c r="D35" s="7" t="inlineStr">
        <is>
          <t>Pulls scope_block_home_network</t>
        </is>
      </c>
    </row>
    <row r="36">
      <c r="A36" s="7" t="inlineStr">
        <is>
          <t>services</t>
        </is>
      </c>
      <c r="B36" s="7" t="inlineStr">
        <is>
          <t>residential-02-home-security</t>
        </is>
      </c>
      <c r="C36" s="7" t="inlineStr">
        <is>
          <t>IP cameras + NVR</t>
        </is>
      </c>
      <c r="D36" s="7" t="inlineStr">
        <is>
          <t>Pulls scope_block_home_security</t>
        </is>
      </c>
    </row>
    <row r="37">
      <c r="A37" s="7" t="inlineStr">
        <is>
          <t>services</t>
        </is>
      </c>
      <c r="B37" s="7" t="inlineStr">
        <is>
          <t>residential-03-home-av</t>
        </is>
      </c>
      <c r="C37" s="7" t="inlineStr">
        <is>
          <t>TV mount, multi-zone audio</t>
        </is>
      </c>
      <c r="D37" s="7" t="inlineStr">
        <is>
          <t>Pulls scope_block_home_av</t>
        </is>
      </c>
    </row>
    <row r="38">
      <c r="A38" s="7" t="inlineStr">
        <is>
          <t>services</t>
        </is>
      </c>
      <c r="B38" s="7" t="inlineStr">
        <is>
          <t>residential-04-home-service</t>
        </is>
      </c>
      <c r="C38" s="7" t="inlineStr">
        <is>
          <t>Managed services plan</t>
        </is>
      </c>
      <c r="D38" s="7" t="inlineStr">
        <is>
          <t>Pulls scope_block_home_service</t>
        </is>
      </c>
    </row>
    <row r="39">
      <c r="A39" s="7" t="inlineStr">
        <is>
          <t>schedule_tpl</t>
        </is>
      </c>
      <c r="B39" s="7" t="inlineStr">
        <is>
          <t>T1 K-12 Summer</t>
        </is>
      </c>
      <c r="C39" s="7" t="inlineStr">
        <is>
          <t>8-week summer window inside school closure</t>
        </is>
      </c>
      <c r="D39" s="7" t="inlineStr">
        <is>
          <t>Weeks 1–8 layout</t>
        </is>
      </c>
    </row>
    <row r="40">
      <c r="A40" s="7" t="inlineStr">
        <is>
          <t>schedule_tpl</t>
        </is>
      </c>
      <c r="B40" s="7" t="inlineStr">
        <is>
          <t>T2 New Commercial Construction</t>
        </is>
      </c>
      <c r="C40" s="7" t="inlineStr">
        <is>
          <t>Phased with GC CPM schedule</t>
        </is>
      </c>
      <c r="D40" s="7" t="inlineStr">
        <is>
          <t>Aligned-with-trades layout</t>
        </is>
      </c>
    </row>
    <row r="41">
      <c r="A41" s="7" t="inlineStr">
        <is>
          <t>schedule_tpl</t>
        </is>
      </c>
      <c r="B41" s="7" t="inlineStr">
        <is>
          <t>T3 Commercial Renovation (occupied)</t>
        </is>
      </c>
      <c r="C41" s="7" t="inlineStr">
        <is>
          <t>After-hours rough-in / ICRA adjacency</t>
        </is>
      </c>
      <c r="D41" s="7" t="inlineStr">
        <is>
          <t>6-week phased layout</t>
        </is>
      </c>
    </row>
    <row r="42">
      <c r="A42" s="7" t="inlineStr">
        <is>
          <t>schedule_tpl</t>
        </is>
      </c>
      <c r="B42" s="7" t="inlineStr">
        <is>
          <t>T4 Residential Smart-Home</t>
        </is>
      </c>
      <c r="C42" s="7" t="inlineStr">
        <is>
          <t>Days (not weeks) — consecutive</t>
        </is>
      </c>
      <c r="D42" s="7" t="inlineStr">
        <is>
          <t>3–5 day layout</t>
        </is>
      </c>
    </row>
    <row r="43">
      <c r="A43" s="7" t="inlineStr">
        <is>
          <t>unit</t>
        </is>
      </c>
      <c r="B43" s="7" t="inlineStr">
        <is>
          <t>each</t>
        </is>
      </c>
      <c r="C43" s="7" t="inlineStr">
        <is>
          <t>Discrete unit (camera, drop, rack)</t>
        </is>
      </c>
      <c r="D43" s="7" t="inlineStr">
        <is>
          <t>—</t>
        </is>
      </c>
    </row>
    <row r="44">
      <c r="A44" s="7" t="inlineStr">
        <is>
          <t>unit</t>
        </is>
      </c>
      <c r="B44" s="7" t="inlineStr">
        <is>
          <t>strand</t>
        </is>
      </c>
      <c r="C44" s="7" t="inlineStr">
        <is>
          <t>Fiber strand (single strand of glass)</t>
        </is>
      </c>
      <c r="D44" s="7" t="inlineStr">
        <is>
          <t>—</t>
        </is>
      </c>
    </row>
    <row r="45">
      <c r="A45" s="7" t="inlineStr">
        <is>
          <t>unit</t>
        </is>
      </c>
      <c r="B45" s="7" t="inlineStr">
        <is>
          <t>pair</t>
        </is>
      </c>
      <c r="C45" s="7" t="inlineStr">
        <is>
          <t>Copper pair (data/telco)</t>
        </is>
      </c>
      <c r="D45" s="7" t="inlineStr">
        <is>
          <t>—</t>
        </is>
      </c>
    </row>
    <row r="46">
      <c r="A46" s="7" t="inlineStr">
        <is>
          <t>unit</t>
        </is>
      </c>
      <c r="B46" s="7" t="inlineStr">
        <is>
          <t>ft</t>
        </is>
      </c>
      <c r="C46" s="7" t="inlineStr">
        <is>
          <t>Linear feet (cable, conduit, tray)</t>
        </is>
      </c>
      <c r="D46" s="7" t="inlineStr">
        <is>
          <t>—</t>
        </is>
      </c>
    </row>
    <row r="47">
      <c r="A47" s="7" t="inlineStr">
        <is>
          <t>unit</t>
        </is>
      </c>
      <c r="B47" s="7" t="inlineStr">
        <is>
          <t>hour</t>
        </is>
      </c>
      <c r="C47" s="7" t="inlineStr">
        <is>
          <t>Labor / service hours</t>
        </is>
      </c>
      <c r="D47" s="7" t="inlineStr">
        <is>
          <t>—</t>
        </is>
      </c>
    </row>
    <row r="48">
      <c r="A48" s="7" t="inlineStr">
        <is>
          <t>unit</t>
        </is>
      </c>
      <c r="B48" s="7" t="inlineStr">
        <is>
          <t>lot</t>
        </is>
      </c>
      <c r="C48" s="7" t="inlineStr">
        <is>
          <t>Bundled scope — rare; avoid in client docs</t>
        </is>
      </c>
      <c r="D48" s="7" t="inlineStr">
        <is>
          <t>—</t>
        </is>
      </c>
    </row>
    <row r="49">
      <c r="A49" s="7" t="inlineStr">
        <is>
          <t>unit</t>
        </is>
      </c>
      <c r="B49" s="7" t="inlineStr">
        <is>
          <t>sqft</t>
        </is>
      </c>
      <c r="C49" s="7" t="inlineStr">
        <is>
          <t>Area-based pricing (density allowances)</t>
        </is>
      </c>
      <c r="D49" s="7" t="inlineStr">
        <is>
          <t>—</t>
        </is>
      </c>
    </row>
    <row r="50">
      <c r="A50" s="7" t="inlineStr">
        <is>
          <t>template</t>
        </is>
      </c>
      <c r="B50" s="7" t="inlineStr">
        <is>
          <t>gc-subcontractor-bid</t>
        </is>
      </c>
      <c r="C50" s="7" t="inlineStr">
        <is>
          <t>GC template</t>
        </is>
      </c>
      <c r="D50" s="7" t="inlineStr">
        <is>
          <t>—</t>
        </is>
      </c>
    </row>
    <row r="51">
      <c r="A51" s="7" t="inlineStr">
        <is>
          <t>template</t>
        </is>
      </c>
      <c r="B51" s="7" t="inlineStr">
        <is>
          <t>owner-direct-proposal</t>
        </is>
      </c>
      <c r="C51" s="7" t="inlineStr">
        <is>
          <t>Owner template</t>
        </is>
      </c>
      <c r="D51" s="7" t="inlineStr">
        <is>
          <t>—</t>
        </is>
      </c>
    </row>
    <row r="52">
      <c r="A52" s="7" t="inlineStr">
        <is>
          <t>template</t>
        </is>
      </c>
      <c r="B52" s="7" t="inlineStr">
        <is>
          <t>residential-homeowner</t>
        </is>
      </c>
      <c r="C52" s="7" t="inlineStr">
        <is>
          <t>Residential template</t>
        </is>
      </c>
      <c r="D52" s="7" t="inlineStr">
        <is>
          <t>—</t>
        </is>
      </c>
    </row>
    <row r="53">
      <c r="A53" s="7" t="inlineStr">
        <is>
          <t>formats</t>
        </is>
      </c>
      <c r="B53" s="7" t="inlineStr">
        <is>
          <t>pdf</t>
        </is>
      </c>
      <c r="C53" s="7" t="inlineStr">
        <is>
          <t>Print-to-PDF branded proposal</t>
        </is>
      </c>
      <c r="D53" s="7" t="inlineStr">
        <is>
          <t>—</t>
        </is>
      </c>
    </row>
    <row r="54">
      <c r="A54" s="7" t="inlineStr">
        <is>
          <t>formats</t>
        </is>
      </c>
      <c r="B54" s="7" t="inlineStr">
        <is>
          <t>html</t>
        </is>
      </c>
      <c r="C54" s="7" t="inlineStr">
        <is>
          <t>Standalone shareable HTML blob</t>
        </is>
      </c>
      <c r="D54" s="7" t="inlineStr">
        <is>
          <t>—</t>
        </is>
      </c>
    </row>
    <row r="55">
      <c r="A55" s="7" t="inlineStr">
        <is>
          <t>formats</t>
        </is>
      </c>
      <c r="B55" s="7" t="inlineStr">
        <is>
          <t>xlsx</t>
        </is>
      </c>
      <c r="C55" s="7" t="inlineStr">
        <is>
          <t>Priced BOM spreadsheet</t>
        </is>
      </c>
      <c r="D55" s="7" t="inlineStr">
        <is>
          <t>—</t>
        </is>
      </c>
    </row>
    <row r="56">
      <c r="A56" s="7" t="inlineStr">
        <is>
          <t>formats</t>
        </is>
      </c>
      <c r="B56" s="7" t="inlineStr">
        <is>
          <t>docx</t>
        </is>
      </c>
      <c r="C56" s="7" t="inlineStr">
        <is>
          <t>Editable Word export (if needed)</t>
        </is>
      </c>
      <c r="D56" s="7" t="inlineStr">
        <is>
          <t>—</t>
        </is>
      </c>
    </row>
    <row r="57">
      <c r="A57" s="7" t="inlineStr">
        <is>
          <t>source_group</t>
        </is>
      </c>
      <c r="B57" s="7" t="inlineStr">
        <is>
          <t>eq</t>
        </is>
      </c>
      <c r="C57" s="7" t="inlineStr">
        <is>
          <t>Equipment catalog rows (hardware)</t>
        </is>
      </c>
      <c r="D57" s="7" t="inlineStr">
        <is>
          <t>Feeds equipment_total</t>
        </is>
      </c>
    </row>
    <row r="58">
      <c r="A58" s="7" t="inlineStr">
        <is>
          <t>source_group</t>
        </is>
      </c>
      <c r="B58" s="7" t="inlineStr">
        <is>
          <t>ma</t>
        </is>
      </c>
      <c r="C58" s="7" t="inlineStr">
        <is>
          <t>Materials catalog rows (consumables, cable)</t>
        </is>
      </c>
      <c r="D58" s="7" t="inlineStr">
        <is>
          <t>Feeds subtotal (non-labor)</t>
        </is>
      </c>
    </row>
    <row r="59">
      <c r="A59" s="7" t="inlineStr">
        <is>
          <t>source_group</t>
        </is>
      </c>
      <c r="B59" s="7" t="inlineStr">
        <is>
          <t>sv</t>
        </is>
      </c>
      <c r="C59" s="7" t="inlineStr">
        <is>
          <t>Services catalog rows (labor)</t>
        </is>
      </c>
      <c r="D59" s="7" t="inlineStr">
        <is>
          <t>Feeds labor_subtotal / installation_total</t>
        </is>
      </c>
    </row>
    <row r="60">
      <c r="A60" s="7" t="inlineStr">
        <is>
          <t>category</t>
        </is>
      </c>
      <c r="B60" s="7" t="inlineStr">
        <is>
          <t>Cameras &amp; NVR</t>
        </is>
      </c>
      <c r="C60" s="7" t="inlineStr">
        <is>
          <t>Camera + NVR hardware</t>
        </is>
      </c>
      <c r="D60" s="7" t="inlineStr">
        <is>
          <t>Auto-adds camera drop + install labor</t>
        </is>
      </c>
    </row>
    <row r="61">
      <c r="A61" s="7" t="inlineStr">
        <is>
          <t>category</t>
        </is>
      </c>
      <c r="B61" s="7" t="inlineStr">
        <is>
          <t>Access Control</t>
        </is>
      </c>
      <c r="C61" s="7" t="inlineStr">
        <is>
          <t>Readers, strikes, REX, DPS</t>
        </is>
      </c>
      <c r="D61" s="7" t="inlineStr">
        <is>
          <t>Auto-adds ACS door composite labor</t>
        </is>
      </c>
    </row>
    <row r="62">
      <c r="A62" s="7" t="inlineStr">
        <is>
          <t>category</t>
        </is>
      </c>
      <c r="B62" s="7" t="inlineStr">
        <is>
          <t>Wireless APs</t>
        </is>
      </c>
      <c r="C62" s="7" t="inlineStr">
        <is>
          <t>Ceiling APs</t>
        </is>
      </c>
      <c r="D62" s="7" t="inlineStr">
        <is>
          <t>Auto-adds WAP drop labor</t>
        </is>
      </c>
    </row>
    <row r="63">
      <c r="A63" s="7" t="inlineStr">
        <is>
          <t>category</t>
        </is>
      </c>
      <c r="B63" s="7" t="inlineStr">
        <is>
          <t>Intercom</t>
        </is>
      </c>
      <c r="C63" s="7" t="inlineStr">
        <is>
          <t>Entry stations + interior masters</t>
        </is>
      </c>
      <c r="D63" s="7" t="inlineStr">
        <is>
          <t>Auto-adds intercom station labor</t>
        </is>
      </c>
    </row>
    <row r="64">
      <c r="A64" s="7" t="inlineStr">
        <is>
          <t>category</t>
        </is>
      </c>
      <c r="B64" s="7" t="inlineStr">
        <is>
          <t>Racks &amp; Enclosures</t>
        </is>
      </c>
      <c r="C64" s="7" t="inlineStr">
        <is>
          <t>Racks, wall-mounts, enclosures</t>
        </is>
      </c>
      <c r="D64" s="7" t="inlineStr">
        <is>
          <t>Auto-adds rack assembly labor</t>
        </is>
      </c>
    </row>
    <row r="65">
      <c r="A65" s="7" t="inlineStr">
        <is>
          <t>category</t>
        </is>
      </c>
      <c r="B65" s="7" t="inlineStr">
        <is>
          <t>Audio</t>
        </is>
      </c>
      <c r="C65" s="7" t="inlineStr">
        <is>
          <t>Speakers, amps, mics</t>
        </is>
      </c>
      <c r="D65" s="7" t="inlineStr">
        <is>
          <t>Auto-adds speaker install labor</t>
        </is>
      </c>
    </row>
    <row r="66">
      <c r="A66" s="7" t="inlineStr">
        <is>
          <t>category</t>
        </is>
      </c>
      <c r="B66" s="7" t="inlineStr">
        <is>
          <t>Network Switching</t>
        </is>
      </c>
      <c r="C66" s="7" t="inlineStr">
        <is>
          <t>PoE switches, aggregation</t>
        </is>
      </c>
      <c r="D66" s="7" t="inlineStr">
        <is>
          <t>—</t>
        </is>
      </c>
    </row>
    <row r="67">
      <c r="A67" s="7" t="inlineStr">
        <is>
          <t>category</t>
        </is>
      </c>
      <c r="B67" s="7" t="inlineStr">
        <is>
          <t>Structured Cable</t>
        </is>
      </c>
      <c r="C67" s="7" t="inlineStr">
        <is>
          <t>Cat6A, fiber, coax bulk</t>
        </is>
      </c>
      <c r="D67" s="7" t="inlineStr">
        <is>
          <t>—</t>
        </is>
      </c>
    </row>
    <row r="68">
      <c r="A68" s="7" t="inlineStr">
        <is>
          <t>category</t>
        </is>
      </c>
      <c r="B68" s="7" t="inlineStr">
        <is>
          <t>Termination Hardware</t>
        </is>
      </c>
      <c r="C68" s="7" t="inlineStr">
        <is>
          <t>Keystones, patch panels</t>
        </is>
      </c>
      <c r="D68" s="7" t="inlineStr">
        <is>
          <t>—</t>
        </is>
      </c>
    </row>
    <row r="69">
      <c r="A69" s="7" t="inlineStr">
        <is>
          <t>Y/N</t>
        </is>
      </c>
      <c r="B69" s="7" t="inlineStr">
        <is>
          <t>Y</t>
        </is>
      </c>
      <c r="C69" s="7" t="inlineStr">
        <is>
          <t>Yes / True</t>
        </is>
      </c>
      <c r="D69" s="7" t="inlineStr">
        <is>
          <t>—</t>
        </is>
      </c>
    </row>
    <row r="70">
      <c r="A70" s="7" t="inlineStr">
        <is>
          <t>Y/N</t>
        </is>
      </c>
      <c r="B70" s="7" t="inlineStr">
        <is>
          <t>N</t>
        </is>
      </c>
      <c r="C70" s="7" t="inlineStr">
        <is>
          <t>No / False</t>
        </is>
      </c>
      <c r="D70" s="7" t="inlineStr">
        <is>
          <t>—</t>
        </is>
      </c>
    </row>
    <row r="71">
      <c r="A71" s="7" t="inlineStr">
        <is>
          <t>tone</t>
        </is>
      </c>
      <c r="B71" s="7" t="inlineStr">
        <is>
          <t>formal-technical</t>
        </is>
      </c>
      <c r="C71" s="7" t="inlineStr">
        <is>
          <t>GC default</t>
        </is>
      </c>
      <c r="D71" s="7" t="inlineStr">
        <is>
          <t>Third-person organizational</t>
        </is>
      </c>
    </row>
    <row r="72">
      <c r="A72" s="7" t="inlineStr">
        <is>
          <t>tone</t>
        </is>
      </c>
      <c r="B72" s="7" t="inlineStr">
        <is>
          <t>first-person-warmer</t>
        </is>
      </c>
      <c r="C72" s="7" t="inlineStr">
        <is>
          <t>Owner default</t>
        </is>
      </c>
      <c r="D72" s="7" t="inlineStr">
        <is>
          <t>First-person from GCC</t>
        </is>
      </c>
    </row>
    <row r="73">
      <c r="A73" s="7" t="inlineStr">
        <is>
          <t>tone</t>
        </is>
      </c>
      <c r="B73" s="7" t="inlineStr">
        <is>
          <t>conversational</t>
        </is>
      </c>
      <c r="C73" s="7" t="inlineStr">
        <is>
          <t>Residential default</t>
        </is>
      </c>
      <c r="D73" s="7" t="inlineStr">
        <is>
          <t>'Hi {name}' opener</t>
        </is>
      </c>
    </row>
    <row r="74">
      <c r="A74" s="7" t="inlineStr">
        <is>
          <t>analogy</t>
        </is>
      </c>
      <c r="B74" s="7" t="inlineStr">
        <is>
          <t>plumbing-pressure-test</t>
        </is>
      </c>
      <c r="C74" s="7" t="inlineStr">
        <is>
          <t>Fluke certification as pressure test</t>
        </is>
      </c>
      <c r="D74" s="7" t="inlineStr">
        <is>
          <t>Used in dental/medical/healthcare</t>
        </is>
      </c>
    </row>
    <row r="75">
      <c r="A75" s="7" t="inlineStr">
        <is>
          <t>analogy</t>
        </is>
      </c>
      <c r="B75" s="7" t="inlineStr">
        <is>
          <t>chain-of-custody</t>
        </is>
      </c>
      <c r="C75" s="7" t="inlineStr">
        <is>
          <t>TIA-606-C labeling as chain of custody</t>
        </is>
      </c>
      <c r="D75" s="7" t="inlineStr">
        <is>
          <t>Used in legal</t>
        </is>
      </c>
    </row>
    <row r="76">
      <c r="A76" s="7" t="inlineStr">
        <is>
          <t>analogy</t>
        </is>
      </c>
      <c r="B76" s="7" t="inlineStr">
        <is>
          <t>sterile-field</t>
        </is>
      </c>
      <c r="C76" s="7" t="inlineStr">
        <is>
          <t>Tested cable as sterile field</t>
        </is>
      </c>
      <c r="D76" s="7" t="inlineStr">
        <is>
          <t>Used in healthcare</t>
        </is>
      </c>
    </row>
    <row r="77">
      <c r="A77" s="7" t="inlineStr">
        <is>
          <t>analogy</t>
        </is>
      </c>
      <c r="B77" s="7" t="inlineStr">
        <is>
          <t>forklift-path</t>
        </is>
      </c>
      <c r="C77" s="7" t="inlineStr">
        <is>
          <t>Pathway planning as forklift path</t>
        </is>
      </c>
      <c r="D77" s="7" t="inlineStr">
        <is>
          <t>Used in industrial/warehouse</t>
        </is>
      </c>
    </row>
    <row r="78">
      <c r="A78" s="7" t="inlineStr">
        <is>
          <t>analogy</t>
        </is>
      </c>
      <c r="B78" s="7" t="inlineStr">
        <is>
          <t>bell-schedule</t>
        </is>
      </c>
      <c r="C78" s="7" t="inlineStr">
        <is>
          <t>On-time delivery as school bell reliability</t>
        </is>
      </c>
      <c r="D78" s="7" t="inlineStr">
        <is>
          <t>Used in K-12</t>
        </is>
      </c>
    </row>
    <row r="79">
      <c r="A79" s="7" t="inlineStr">
        <is>
          <t>loyalty</t>
        </is>
      </c>
      <c r="B79" s="7" t="inlineStr">
        <is>
          <t>0.05</t>
        </is>
      </c>
      <c r="C79" s="7" t="inlineStr">
        <is>
          <t>5% — future bid loyalty only</t>
        </is>
      </c>
      <c r="D79" s="7" t="inlineStr">
        <is>
          <t>Repeat client, no active MS</t>
        </is>
      </c>
    </row>
    <row r="80">
      <c r="A80" s="7" t="inlineStr">
        <is>
          <t>loyalty</t>
        </is>
      </c>
      <c r="B80" s="7" t="inlineStr">
        <is>
          <t>0.10</t>
        </is>
      </c>
      <c r="C80" s="7" t="inlineStr">
        <is>
          <t>10% — stacked (future + active MS)</t>
        </is>
      </c>
      <c r="D80" s="7" t="inlineStr">
        <is>
          <t>Repeat client WITH active MS</t>
        </is>
      </c>
    </row>
  </sheetData>
  <autoFilter ref="A1:D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  <col width="50" customWidth="1" min="3" max="3"/>
    <col width="16" customWidth="1" min="4" max="4"/>
  </cols>
  <sheetData>
    <row r="1">
      <c r="A1" s="4" t="inlineStr">
        <is>
          <t>Computed Field</t>
        </is>
      </c>
      <c r="B1" s="4" t="inlineStr">
        <is>
          <t>Formula / Derivation</t>
        </is>
      </c>
      <c r="C1" s="4" t="inlineStr">
        <is>
          <t>Inputs (upstream fields)</t>
        </is>
      </c>
      <c r="D1" s="4" t="inlineStr">
        <is>
          <t>Result Type</t>
        </is>
      </c>
    </row>
    <row r="2">
      <c r="A2" s="15" t="inlineStr">
        <is>
          <t>proposal_date</t>
        </is>
      </c>
      <c r="B2" s="7" t="inlineStr">
        <is>
          <t>TODAY() at render time; user can override.</t>
        </is>
      </c>
      <c r="C2" s="7" t="inlineStr">
        <is>
          <t>(none)</t>
        </is>
      </c>
      <c r="D2" s="7" t="inlineStr">
        <is>
          <t>date</t>
        </is>
      </c>
    </row>
    <row r="3">
      <c r="A3" s="15" t="inlineStr">
        <is>
          <t>validity_date</t>
        </is>
      </c>
      <c r="B3" s="7" t="inlineStr">
        <is>
          <t>proposal_date + 60 calendar days.</t>
        </is>
      </c>
      <c r="C3" s="7" t="inlineStr">
        <is>
          <t>proposal_date</t>
        </is>
      </c>
      <c r="D3" s="7" t="inlineStr">
        <is>
          <t>date</t>
        </is>
      </c>
    </row>
    <row r="4">
      <c r="A4" s="15" t="inlineStr">
        <is>
          <t>gcc_bid_number</t>
        </is>
      </c>
      <c r="B4" s="7" t="inlineStr">
        <is>
          <t>'GCC-' + YEAR(proposal_date) + '-' + zero-pad(next sequence number, 4). Sequence from Wix Submissions collection.</t>
        </is>
      </c>
      <c r="C4" s="7" t="inlineStr">
        <is>
          <t>proposal_date + Wix sequence</t>
        </is>
      </c>
      <c r="D4" s="7" t="inlineStr">
        <is>
          <t>string</t>
        </is>
      </c>
    </row>
    <row r="5">
      <c r="A5" s="15" t="inlineStr">
        <is>
          <t>homeowner_first_name</t>
        </is>
      </c>
      <c r="B5" s="7" t="inlineStr">
        <is>
          <t>SPLIT(homeowner_name, ' ')[0]</t>
        </is>
      </c>
      <c r="C5" s="7" t="inlineStr">
        <is>
          <t>homeowner_name</t>
        </is>
      </c>
      <c r="D5" s="7" t="inlineStr">
        <is>
          <t>string</t>
        </is>
      </c>
    </row>
    <row r="6">
      <c r="A6" s="15" t="inlineStr">
        <is>
          <t>loyalty_discount_pct</t>
        </is>
      </c>
      <c r="B6" s="7" t="inlineStr">
        <is>
          <t>0.05 base; +0.05 if client has active Managed Services contract. Single stacked rate, never broken out.</t>
        </is>
      </c>
      <c r="C6" s="7" t="inlineStr">
        <is>
          <t>Account.repeat_client_flag + Account.active_ms_flag</t>
        </is>
      </c>
      <c r="D6" s="7" t="inlineStr">
        <is>
          <t>percent</t>
        </is>
      </c>
    </row>
    <row r="7">
      <c r="A7" s="15" t="inlineStr">
        <is>
          <t>loyalty_discount_label</t>
        </is>
      </c>
      <c r="B7" s="7" t="inlineStr">
        <is>
          <t>IF(loyalty_discount_pct=0.10, 'Loyalty Discount (5% future + 5% active MS)', 'Loyalty Discount (5% future)')</t>
        </is>
      </c>
      <c r="C7" s="7" t="inlineStr">
        <is>
          <t>loyalty_discount_pct</t>
        </is>
      </c>
      <c r="D7" s="7" t="inlineStr">
        <is>
          <t>string</t>
        </is>
      </c>
    </row>
    <row r="8">
      <c r="A8" s="15" t="inlineStr">
        <is>
          <t>loyalty_discount_amount</t>
        </is>
      </c>
      <c r="B8" s="7" t="inlineStr">
        <is>
          <t>base_bid_amount × loyalty_discount_pct (GC).</t>
        </is>
      </c>
      <c r="C8" s="7" t="inlineStr">
        <is>
          <t>base_bid_amount, loyalty_discount_pct</t>
        </is>
      </c>
      <c r="D8" s="7" t="inlineStr">
        <is>
          <t>currency</t>
        </is>
      </c>
    </row>
    <row r="9">
      <c r="A9" s="15" t="inlineStr">
        <is>
          <t>loyalty_discount</t>
        </is>
      </c>
      <c r="B9" s="7" t="inlineStr">
        <is>
          <t>total_price × loyalty_discount_pct (Owner).</t>
        </is>
      </c>
      <c r="C9" s="7" t="inlineStr">
        <is>
          <t>total_price, loyalty_discount_pct</t>
        </is>
      </c>
      <c r="D9" s="7" t="inlineStr">
        <is>
          <t>currency</t>
        </is>
      </c>
    </row>
    <row r="10">
      <c r="A10" s="15" t="inlineStr">
        <is>
          <t>net_bid_amount</t>
        </is>
      </c>
      <c r="B10" s="7" t="inlineStr">
        <is>
          <t>base_bid_amount − d1_amount − loyalty_discount_amount.</t>
        </is>
      </c>
      <c r="C10" s="7" t="inlineStr">
        <is>
          <t>base_bid_amount, d1_amount, loyalty_discount_amount</t>
        </is>
      </c>
      <c r="D10" s="7" t="inlineStr">
        <is>
          <t>currency</t>
        </is>
      </c>
    </row>
    <row r="11">
      <c r="A11" s="15" t="inlineStr">
        <is>
          <t>base_bid_amount</t>
        </is>
      </c>
      <c r="B11" s="7" t="inlineStr">
        <is>
          <t>Bundle grand_total (before loyalty). Rounded per estimating methodology §10.</t>
        </is>
      </c>
      <c r="C11" s="7" t="inlineStr">
        <is>
          <t>bundle grand_total</t>
        </is>
      </c>
      <c r="D11" s="7" t="inlineStr">
        <is>
          <t>currency</t>
        </is>
      </c>
    </row>
    <row r="12">
      <c r="A12" s="15" t="inlineStr">
        <is>
          <t>total_price</t>
        </is>
      </c>
      <c r="B12" s="7" t="inlineStr">
        <is>
          <t>installation_total + equipment_total.</t>
        </is>
      </c>
      <c r="C12" s="7" t="inlineStr">
        <is>
          <t>installation_total, equipment_total</t>
        </is>
      </c>
      <c r="D12" s="7" t="inlineStr">
        <is>
          <t>currency</t>
        </is>
      </c>
    </row>
    <row r="13">
      <c r="A13" s="15" t="inlineStr">
        <is>
          <t>installation_total</t>
        </is>
      </c>
      <c r="B13" s="7" t="inlineStr">
        <is>
          <t>SUM of labor/service line_extended across bundle.</t>
        </is>
      </c>
      <c r="C13" s="7" t="inlineStr">
        <is>
          <t>bundle rows where source=sv</t>
        </is>
      </c>
      <c r="D13" s="7" t="inlineStr">
        <is>
          <t>currency</t>
        </is>
      </c>
    </row>
    <row r="14">
      <c r="A14" s="15" t="inlineStr">
        <is>
          <t>equipment_total</t>
        </is>
      </c>
      <c r="B14" s="7" t="inlineStr">
        <is>
          <t>SUM of equipment line_extended across bundle.</t>
        </is>
      </c>
      <c r="C14" s="7" t="inlineStr">
        <is>
          <t>bundle rows where source=eq</t>
        </is>
      </c>
      <c r="D14" s="7" t="inlineStr">
        <is>
          <t>currency</t>
        </is>
      </c>
    </row>
    <row r="15">
      <c r="A15" s="15" t="inlineStr">
        <is>
          <t>deposit_30_amount</t>
        </is>
      </c>
      <c r="B15" s="7" t="inlineStr">
        <is>
          <t>total_price × 0.30.</t>
        </is>
      </c>
      <c r="C15" s="7" t="inlineStr">
        <is>
          <t>total_price</t>
        </is>
      </c>
      <c r="D15" s="7" t="inlineStr">
        <is>
          <t>currency</t>
        </is>
      </c>
    </row>
    <row r="16">
      <c r="A16" s="15" t="inlineStr">
        <is>
          <t>material_40_amount</t>
        </is>
      </c>
      <c r="B16" s="7" t="inlineStr">
        <is>
          <t>total_price × 0.40.</t>
        </is>
      </c>
      <c r="C16" s="7" t="inlineStr">
        <is>
          <t>total_price</t>
        </is>
      </c>
      <c r="D16" s="7" t="inlineStr">
        <is>
          <t>currency</t>
        </is>
      </c>
    </row>
    <row r="17">
      <c r="A17" s="15" t="inlineStr">
        <is>
          <t>final_30_amount</t>
        </is>
      </c>
      <c r="B17" s="7" t="inlineStr">
        <is>
          <t>total_price × 0.30.</t>
        </is>
      </c>
      <c r="C17" s="7" t="inlineStr">
        <is>
          <t>total_price</t>
        </is>
      </c>
      <c r="D17" s="7" t="inlineStr">
        <is>
          <t>currency</t>
        </is>
      </c>
    </row>
    <row r="18">
      <c r="A18" s="15" t="inlineStr">
        <is>
          <t>subtotal (bundle)</t>
        </is>
      </c>
      <c r="B18" s="7" t="inlineStr">
        <is>
          <t>SUM of non-service line_extended.</t>
        </is>
      </c>
      <c r="C18" s="7" t="inlineStr">
        <is>
          <t>bundle non-sv rows</t>
        </is>
      </c>
      <c r="D18" s="7" t="inlineStr">
        <is>
          <t>currency</t>
        </is>
      </c>
    </row>
    <row r="19">
      <c r="A19" s="15" t="inlineStr">
        <is>
          <t>labor_subtotal (bundle)</t>
        </is>
      </c>
      <c r="B19" s="7" t="inlineStr">
        <is>
          <t>SUM of service line_extended.</t>
        </is>
      </c>
      <c r="C19" s="7" t="inlineStr">
        <is>
          <t>bundle sv rows</t>
        </is>
      </c>
      <c r="D19" s="7" t="inlineStr">
        <is>
          <t>currency</t>
        </is>
      </c>
    </row>
    <row r="20">
      <c r="A20" s="15" t="inlineStr">
        <is>
          <t>tax_amount (bundle)</t>
        </is>
      </c>
      <c r="B20" s="7" t="inlineStr">
        <is>
          <t>(subtotal + labor_subtotal) × tax_pct.</t>
        </is>
      </c>
      <c r="C20" s="7" t="inlineStr">
        <is>
          <t>subtotal, labor_subtotal, tax_pct</t>
        </is>
      </c>
      <c r="D20" s="7" t="inlineStr">
        <is>
          <t>currency</t>
        </is>
      </c>
    </row>
    <row r="21">
      <c r="A21" s="15" t="inlineStr">
        <is>
          <t>grand_total (bundle)</t>
        </is>
      </c>
      <c r="B21" s="7" t="inlineStr">
        <is>
          <t>subtotal + labor_subtotal + tax_amount.</t>
        </is>
      </c>
      <c r="C21" s="7" t="inlineStr">
        <is>
          <t>subtotal, labor_subtotal, tax_amount</t>
        </is>
      </c>
      <c r="D21" s="7" t="inlineStr">
        <is>
          <t>currency</t>
        </is>
      </c>
    </row>
    <row r="22">
      <c r="A22" s="15" t="inlineStr">
        <is>
          <t>line_margin_pct</t>
        </is>
      </c>
      <c r="B22" s="7" t="inlineStr">
        <is>
          <t>(line_sale_each − line_cost_each) / line_sale_each. Red flag if &lt; 0.25.</t>
        </is>
      </c>
      <c r="C22" s="7" t="inlineStr">
        <is>
          <t>line_sale_each, line_cost_each</t>
        </is>
      </c>
      <c r="D22" s="7" t="inlineStr">
        <is>
          <t>percent</t>
        </is>
      </c>
    </row>
    <row r="23">
      <c r="A23" s="15" t="inlineStr">
        <is>
          <t>line_extended</t>
        </is>
      </c>
      <c r="B23" s="7" t="inlineStr">
        <is>
          <t>line_qty × line_sale_each.</t>
        </is>
      </c>
      <c r="C23" s="7" t="inlineStr">
        <is>
          <t>line_qty, line_sale_each</t>
        </is>
      </c>
      <c r="D23" s="7" t="inlineStr">
        <is>
          <t>currency</t>
        </is>
      </c>
    </row>
    <row r="24">
      <c r="A24" s="15" t="inlineStr">
        <is>
          <t>substantial_completion_date</t>
        </is>
      </c>
      <c r="B24" s="7" t="inlineStr">
        <is>
          <t>mobilization_date + duration_weeks × 7, where duration_weeks is from schedule_template.</t>
        </is>
      </c>
      <c r="C24" s="7" t="inlineStr">
        <is>
          <t>mobilization_date, schedule_template</t>
        </is>
      </c>
      <c r="D24" s="7" t="inlineStr">
        <is>
          <t>date</t>
        </is>
      </c>
    </row>
    <row r="25">
      <c r="A25" s="15" t="inlineStr">
        <is>
          <t>schedule_weekend_buffer_days</t>
        </is>
      </c>
      <c r="B25" s="7" t="inlineStr">
        <is>
          <t>Business-day diff between in_service_date and substantial_completion_date.</t>
        </is>
      </c>
      <c r="C25" s="7" t="inlineStr">
        <is>
          <t>in_service_date, substantial_completion_date</t>
        </is>
      </c>
      <c r="D25" s="7" t="inlineStr">
        <is>
          <t>integer</t>
        </is>
      </c>
    </row>
    <row r="26">
      <c r="A26" s="15" t="inlineStr">
        <is>
          <t>schedule_summary_line</t>
        </is>
      </c>
      <c r="B26" s="7" t="inlineStr">
        <is>
          <t>'Mobilize {mob_day mob_date}; substantial completion {sc_day sc_date}.'</t>
        </is>
      </c>
      <c r="C26" s="7" t="inlineStr">
        <is>
          <t>mobilization_date, substantial_completion_date</t>
        </is>
      </c>
      <c r="D26" s="7" t="inlineStr">
        <is>
          <t>string</t>
        </is>
      </c>
    </row>
    <row r="27">
      <c r="A27" s="15" t="inlineStr">
        <is>
          <t>schedule_template</t>
        </is>
      </c>
      <c r="B27" s="7" t="inlineStr">
        <is>
          <t>Map project_type → template: new-construction→T2; commercial-renovation→T3; K-12-summer→T1; healthcare-occupied→T3; residential→T4; office-tenant→T3.</t>
        </is>
      </c>
      <c r="C27" s="7" t="inlineStr">
        <is>
          <t>project_type</t>
        </is>
      </c>
      <c r="D27" s="7" t="inlineStr">
        <is>
          <t>enum</t>
        </is>
      </c>
    </row>
    <row r="28">
      <c r="A28" s="15" t="inlineStr">
        <is>
          <t>acceptance_signer_org</t>
        </is>
      </c>
      <c r="B28" s="7" t="inlineStr">
        <is>
          <t>IF(template=GC, gc_company_name, IF(template=Owner, client_company_name, homeowner_name)).</t>
        </is>
      </c>
      <c r="C28" s="7" t="inlineStr">
        <is>
          <t>proposal_template_choice + party fields</t>
        </is>
      </c>
      <c r="D28" s="7" t="inlineStr">
        <is>
          <t>string</t>
        </is>
      </c>
    </row>
    <row r="29">
      <c r="A29" s="15" t="inlineStr">
        <is>
          <t>acceptance_price_displayed</t>
        </is>
      </c>
      <c r="B29" s="7" t="inlineStr">
        <is>
          <t>IF(template=GC, base_bid_amount, total_price).</t>
        </is>
      </c>
      <c r="C29" s="7" t="inlineStr">
        <is>
          <t>proposal_template_choice, base_bid_amount, total_price</t>
        </is>
      </c>
      <c r="D29" s="7" t="inlineStr">
        <is>
          <t>currency</t>
        </is>
      </c>
    </row>
    <row r="30">
      <c r="A30" s="15" t="inlineStr">
        <is>
          <t>quantified_items (GC §3.4)</t>
        </is>
      </c>
      <c r="B30" s="7" t="inlineStr">
        <is>
          <t>GROUP BY like SKU across bundle → [{item label, qty sum, unit}]. Excludes services.</t>
        </is>
      </c>
      <c r="C30" s="7" t="inlineStr">
        <is>
          <t>bundle rows</t>
        </is>
      </c>
      <c r="D30" s="7" t="inlineStr">
        <is>
          <t>array</t>
        </is>
      </c>
    </row>
    <row r="31">
      <c r="A31" s="15" t="inlineStr">
        <is>
          <t>equipment_items (Res §4.1)</t>
        </is>
      </c>
      <c r="B31" s="7" t="inlineStr">
        <is>
          <t>Bundle rows where source=eq → [{name, vendor+mfrPartNumber, 'Yes' if active}].</t>
        </is>
      </c>
      <c r="C31" s="7" t="inlineStr">
        <is>
          <t>bundle eq rows</t>
        </is>
      </c>
      <c r="D31" s="7" t="inlineStr">
        <is>
          <t>array</t>
        </is>
      </c>
    </row>
    <row r="32">
      <c r="A32" s="15" t="inlineStr">
        <is>
          <t>data_drops_count, camera_count_*, door_positions_count, fiber_strands_count, rack_count, switch_count, ap_count, drop_count</t>
        </is>
      </c>
      <c r="B32" s="7" t="inlineStr">
        <is>
          <t>COUNT bundle rows whose SKU matches the category keyword map (LABOR_SUGGESTIONS + LABOR_KEYWORD_MAP in bundle-builder.html).</t>
        </is>
      </c>
      <c r="C32" s="7" t="inlineStr">
        <is>
          <t>bundle rows</t>
        </is>
      </c>
      <c r="D32" s="7" t="inlineStr">
        <is>
          <t>integer</t>
        </is>
      </c>
    </row>
    <row r="33">
      <c r="A33" s="15" t="inlineStr">
        <is>
          <t>analogy_selected</t>
        </is>
      </c>
      <c r="B33" s="7" t="inlineStr">
        <is>
          <t>Lookup table: client_industry → approved analogy. See Controlled Vocab 'industry' rows.</t>
        </is>
      </c>
      <c r="C33" s="7" t="inlineStr">
        <is>
          <t>client_industry</t>
        </is>
      </c>
      <c r="D33" s="7" t="inlineStr">
        <is>
          <t>string</t>
        </is>
      </c>
    </row>
    <row r="34">
      <c r="A34" s="15" t="inlineStr">
        <is>
          <t>milestones_weeks</t>
        </is>
      </c>
      <c r="B34" s="7" t="inlineStr">
        <is>
          <t>Render schedule_template with mobilization_date anchor → weekly rows with computed date ranges.</t>
        </is>
      </c>
      <c r="C34" s="7" t="inlineStr">
        <is>
          <t>schedule_template, mobilization_date</t>
        </is>
      </c>
      <c r="D34" s="7" t="inlineStr">
        <is>
          <t>array</t>
        </is>
      </c>
    </row>
  </sheetData>
  <autoFilter ref="A1:D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60" customWidth="1" min="3" max="3"/>
    <col width="22" customWidth="1" min="4" max="4"/>
    <col width="40" customWidth="1" min="5" max="5"/>
  </cols>
  <sheetData>
    <row r="1">
      <c r="A1" s="4" t="inlineStr">
        <is>
          <t>Block Name</t>
        </is>
      </c>
      <c r="B1" s="4" t="inlineStr">
        <is>
          <t>Source File</t>
        </is>
      </c>
      <c r="C1" s="4" t="inlineStr">
        <is>
          <t>What It Contains</t>
        </is>
      </c>
      <c r="D1" s="4" t="inlineStr">
        <is>
          <t>Used In Docs</t>
        </is>
      </c>
      <c r="E1" s="4" t="inlineStr">
        <is>
          <t>Update Trigger</t>
        </is>
      </c>
    </row>
    <row r="2">
      <c r="A2" s="7" t="inlineStr">
        <is>
          <t>Company Overview (long, ~150 words)</t>
        </is>
      </c>
      <c r="B2" s="7" t="inlineStr">
        <is>
          <t>components/company-overview.md</t>
        </is>
      </c>
      <c r="C2" s="7" t="inlineStr">
        <is>
          <t>Division 27/28 framing + Cat6A+Fluke+TIA-606-C baseline + insurance summary</t>
        </is>
      </c>
      <c r="D2" s="7" t="inlineStr">
        <is>
          <t>GC §04, Owner §03</t>
        </is>
      </c>
      <c r="E2" s="7" t="inlineStr">
        <is>
          <t>Rebrand or major cert change</t>
        </is>
      </c>
    </row>
    <row r="3">
      <c r="A3" s="7" t="inlineStr">
        <is>
          <t>Company Overview (short, ~60 words)</t>
        </is>
      </c>
      <c r="B3" s="7" t="inlineStr">
        <is>
          <t>components/company-overview.md</t>
        </is>
      </c>
      <c r="C3" s="7" t="inlineStr">
        <is>
          <t>Condensed version for residential/first-page</t>
        </is>
      </c>
      <c r="D3" s="7" t="inlineStr">
        <is>
          <t>Residential §03</t>
        </is>
      </c>
      <c r="E3" s="7" t="inlineStr">
        <is>
          <t>Same as long</t>
        </is>
      </c>
    </row>
    <row r="4">
      <c r="A4" s="7" t="inlineStr">
        <is>
          <t>Company Overline / Tagline</t>
        </is>
      </c>
      <c r="B4" s="7" t="inlineStr">
        <is>
          <t>components/company-overview.md</t>
        </is>
      </c>
      <c r="C4" s="7" t="inlineStr">
        <is>
          <t>'Division 27/28 Low-Voltage Contractor · KCMO &amp; STL · Licensed &amp; Insured'</t>
        </is>
      </c>
      <c r="D4" s="7" t="inlineStr">
        <is>
          <t>All — header/footer</t>
        </is>
      </c>
      <c r="E4" s="7" t="inlineStr">
        <is>
          <t>Rebrand</t>
        </is>
      </c>
    </row>
    <row r="5">
      <c r="A5" s="7" t="inlineStr">
        <is>
          <t>Company Contact Block</t>
        </is>
      </c>
      <c r="B5" s="7" t="inlineStr">
        <is>
          <t>components/company-overview.md</t>
        </is>
      </c>
      <c r="C5" s="7" t="inlineStr">
        <is>
          <t>GCC LLC / 603 Seib Dr, O'Fallon, MO 63366 / (636) 224-8192 / corporate@greencommllc.com</t>
        </is>
      </c>
      <c r="D5" s="7" t="inlineStr">
        <is>
          <t>All — footer</t>
        </is>
      </c>
      <c r="E5" s="7" t="inlineStr">
        <is>
          <t>HQ move or phone/email change</t>
        </is>
      </c>
    </row>
    <row r="6">
      <c r="A6" s="7" t="inlineStr">
        <is>
          <t>The 4 Differentiators (gold-dot bullets)</t>
        </is>
      </c>
      <c r="B6" s="7" t="inlineStr">
        <is>
          <t>components/differentiators.md</t>
        </is>
      </c>
      <c r="C6" s="7" t="inlineStr">
        <is>
          <t>Lifetime warranty transfers · 100% on-time · Fluke on every cable · Cat6A plenum baseline</t>
        </is>
      </c>
      <c r="D6" s="7" t="inlineStr">
        <is>
          <t>All — cover letter + overview</t>
        </is>
      </c>
      <c r="E6" s="7" t="inlineStr">
        <is>
          <t>Never — hard-rule word-for-word</t>
        </is>
      </c>
    </row>
    <row r="7">
      <c r="A7" s="7" t="inlineStr">
        <is>
          <t>Lifetime Warranty Hero Callout</t>
        </is>
      </c>
      <c r="B7" s="7" t="inlineStr">
        <is>
          <t>components/differentiators.md</t>
        </is>
      </c>
      <c r="C7" s="7" t="inlineStr">
        <is>
          <t>LIFETIME WORKMANSHIP — TRANSFERS WITH THE PROPERTY headline + sub-copy</t>
        </is>
      </c>
      <c r="D7" s="7" t="inlineStr">
        <is>
          <t>All §06 Warranty</t>
        </is>
      </c>
      <c r="E7" s="7" t="inlineStr">
        <is>
          <t>Legal review only</t>
        </is>
      </c>
    </row>
    <row r="8">
      <c r="A8" s="7" t="inlineStr">
        <is>
          <t>Executive Team Bios (4)</t>
        </is>
      </c>
      <c r="B8" s="7" t="inlineStr">
        <is>
          <t>components/team-and-leadership.md</t>
        </is>
      </c>
      <c r="C8" s="7" t="inlineStr">
        <is>
          <t>Kaitlyn / Nathan / Dustin / Taylor bios (verbatim)</t>
        </is>
      </c>
      <c r="D8" s="7" t="inlineStr">
        <is>
          <t>GC §05, Owner §03</t>
        </is>
      </c>
      <c r="E8" s="7" t="inlineStr">
        <is>
          <t>Hire/title change</t>
        </is>
      </c>
    </row>
    <row r="9">
      <c r="A9" s="7" t="inlineStr">
        <is>
          <t>Crew &amp; Field Standards</t>
        </is>
      </c>
      <c r="B9" s="7" t="inlineStr">
        <is>
          <t>components/team-and-leadership.md</t>
        </is>
      </c>
      <c r="C9" s="7" t="inlineStr">
        <is>
          <t>Two-person minimum, OSHA 10/30, ICRA 3/4, BICSI available</t>
        </is>
      </c>
      <c r="D9" s="7" t="inlineStr">
        <is>
          <t>GC §07, Owner §05, Res §03</t>
        </is>
      </c>
      <c r="E9" s="7" t="inlineStr">
        <is>
          <t>OSHA/ICRA policy change</t>
        </is>
      </c>
    </row>
    <row r="10">
      <c r="A10" s="7" t="inlineStr">
        <is>
          <t>Kaitlyn Signature Convention</t>
        </is>
      </c>
      <c r="B10" s="7" t="inlineStr">
        <is>
          <t>components/team-and-leadership.md</t>
        </is>
      </c>
      <c r="C10" s="7" t="inlineStr">
        <is>
          <t>Signature block formatting + transparent PNG rule</t>
        </is>
      </c>
      <c r="D10" s="7" t="inlineStr">
        <is>
          <t>All — cover letter + acceptance</t>
        </is>
      </c>
      <c r="E10" s="7" t="inlineStr">
        <is>
          <t>Signature image change</t>
        </is>
      </c>
    </row>
    <row r="11">
      <c r="A11" s="7" t="inlineStr">
        <is>
          <t>Insurance Table — Commercial</t>
        </is>
      </c>
      <c r="B11" s="7" t="inlineStr">
        <is>
          <t>components/insurance-and-bonding.md</t>
        </is>
      </c>
      <c r="C11" s="7" t="inlineStr">
        <is>
          <t>7-row carrier/limit table + broker + bonding capacity</t>
        </is>
      </c>
      <c r="D11" s="7" t="inlineStr">
        <is>
          <t>GC §05, Owner §03</t>
        </is>
      </c>
      <c r="E11" s="7" t="inlineStr">
        <is>
          <t>Annual renewal (03/17 each year)</t>
        </is>
      </c>
    </row>
    <row r="12">
      <c r="A12" s="7" t="inlineStr">
        <is>
          <t>Insurance Paragraph — Residential</t>
        </is>
      </c>
      <c r="B12" s="7" t="inlineStr">
        <is>
          <t>components/insurance-and-bonding.md</t>
        </is>
      </c>
      <c r="C12" s="7" t="inlineStr">
        <is>
          <t>Condensed insurance paragraph for residential</t>
        </is>
      </c>
      <c r="D12" s="7" t="inlineStr">
        <is>
          <t>Residential §03</t>
        </is>
      </c>
      <c r="E12" s="7" t="inlineStr">
        <is>
          <t>Same as commercial</t>
        </is>
      </c>
    </row>
    <row r="13">
      <c r="A13" s="7" t="inlineStr">
        <is>
          <t>Certifications &amp; Standards</t>
        </is>
      </c>
      <c r="B13" s="7" t="inlineStr">
        <is>
          <t>components/certifications-and-standards.md</t>
        </is>
      </c>
      <c r="C13" s="7" t="inlineStr">
        <is>
          <t>Standards list (TIA 568-D, 569-E, 606-C, 607-C; NEC 725/770/800; BICSI TDMM)</t>
        </is>
      </c>
      <c r="D13" s="7" t="inlineStr">
        <is>
          <t>GC §05, Owner §04.1</t>
        </is>
      </c>
      <c r="E13" s="7" t="inlineStr">
        <is>
          <t>Standards revision</t>
        </is>
      </c>
    </row>
    <row r="14">
      <c r="A14" s="7" t="inlineStr">
        <is>
          <t>Testing Equipment Owned</t>
        </is>
      </c>
      <c r="B14" s="7" t="inlineStr">
        <is>
          <t>components/certifications-and-standards.md</t>
        </is>
      </c>
      <c r="C14" s="7" t="inlineStr">
        <is>
          <t>Fluke DSX-8000, OTDR, LSPM, Brady M611 — 'owned in-house, not rented'</t>
        </is>
      </c>
      <c r="D14" s="7" t="inlineStr">
        <is>
          <t>GC §05</t>
        </is>
      </c>
      <c r="E14" s="7" t="inlineStr">
        <is>
          <t>Tool purchase/sale</t>
        </is>
      </c>
    </row>
    <row r="15">
      <c r="A15" s="7" t="inlineStr">
        <is>
          <t>Closeout Deliverables</t>
        </is>
      </c>
      <c r="B15" s="7" t="inlineStr">
        <is>
          <t>components/certifications-and-standards.md</t>
        </is>
      </c>
      <c r="C15" s="7" t="inlineStr">
        <is>
          <t>As-built, LinkWare PDF, OTDR .sor, rack elevations, warranty reg, MSDS</t>
        </is>
      </c>
      <c r="D15" s="7" t="inlineStr">
        <is>
          <t>GC + Owner closeout</t>
        </is>
      </c>
      <c r="E15" s="7" t="inlineStr">
        <is>
          <t>Policy change</t>
        </is>
      </c>
    </row>
    <row r="16">
      <c r="A16" s="7" t="inlineStr">
        <is>
          <t>Preferred Product Lines</t>
        </is>
      </c>
      <c r="B16" s="7" t="inlineStr">
        <is>
          <t>components/certifications-and-standards.md</t>
        </is>
      </c>
      <c r="C16" s="7" t="inlineStr">
        <is>
          <t>Ubiquiti, CommScope, Corning, Leviton, Avigilon, Mercury, Bosch table</t>
        </is>
      </c>
      <c r="D16" s="7" t="inlineStr">
        <is>
          <t>GC §05 (optional)</t>
        </is>
      </c>
      <c r="E16" s="7" t="inlineStr">
        <is>
          <t>Vendor relationship change</t>
        </is>
      </c>
    </row>
    <row r="17">
      <c r="A17" s="7" t="inlineStr">
        <is>
          <t>Standard Exclusions (hard rules)</t>
        </is>
      </c>
      <c r="B17" s="7" t="inlineStr">
        <is>
          <t>components/hard-rules.md</t>
        </is>
      </c>
      <c r="C17" s="7" t="inlineStr">
        <is>
          <t>Fire alarm, ERCES/BDA, lighting controls, BMS/HVAC, EV data, mass-notification</t>
        </is>
      </c>
      <c r="D17" s="7" t="inlineStr">
        <is>
          <t>All — §3.5 or §4.2</t>
        </is>
      </c>
      <c r="E17" s="7" t="inlineStr">
        <is>
          <t>Never — hard-rule</t>
        </is>
      </c>
    </row>
    <row r="18">
      <c r="A18" s="7" t="inlineStr">
        <is>
          <t>Hard Rule — Always Include</t>
        </is>
      </c>
      <c r="B18" s="7" t="inlineStr">
        <is>
          <t>components/hard-rules.md</t>
        </is>
      </c>
      <c r="C18" s="7" t="inlineStr">
        <is>
          <t>Cat6A baseline, Fluke DSX cert, TIA-606-C Class 3, 2-person crew, lifetime warranty, loyalty on repeat, MS alternate, D1 deduct</t>
        </is>
      </c>
      <c r="D18" s="7" t="inlineStr">
        <is>
          <t>All — enforced in generator prompt</t>
        </is>
      </c>
      <c r="E18" s="7" t="inlineStr">
        <is>
          <t>Company policy change</t>
        </is>
      </c>
    </row>
    <row r="19">
      <c r="A19" s="7" t="inlineStr">
        <is>
          <t>Hard Rule — Never Disclose</t>
        </is>
      </c>
      <c r="B19" s="7" t="inlineStr">
        <is>
          <t>components/hard-rules.md</t>
        </is>
      </c>
      <c r="C19" s="7" t="inlineStr">
        <is>
          <t>Labor model (union/non-union), staff count, Nathan's direct email, MBE/WBE (none held)</t>
        </is>
      </c>
      <c r="D19" s="7" t="inlineStr">
        <is>
          <t>All — generator enforces</t>
        </is>
      </c>
      <c r="E19" s="7" t="inlineStr">
        <is>
          <t>Policy change</t>
        </is>
      </c>
    </row>
    <row r="20">
      <c r="A20" s="7" t="inlineStr">
        <is>
          <t>Terminology Canon</t>
        </is>
      </c>
      <c r="B20" s="7" t="inlineStr">
        <is>
          <t>components/hard-rules.md</t>
        </is>
      </c>
      <c r="C20" s="7" t="inlineStr">
        <is>
          <t>Proposal / Bid / Submittal / Quote / Estimate definitions</t>
        </is>
      </c>
      <c r="D20" s="7" t="inlineStr">
        <is>
          <t>All — render layer picks correct term</t>
        </is>
      </c>
      <c r="E20" s="7" t="inlineStr">
        <is>
          <t>Never</t>
        </is>
      </c>
    </row>
    <row r="21">
      <c r="A21" s="7" t="inlineStr">
        <is>
          <t>Voice Rules</t>
        </is>
      </c>
      <c r="B21" s="7" t="inlineStr">
        <is>
          <t>components/voice-rules.md</t>
        </is>
      </c>
      <c r="C21" s="7" t="inlineStr">
        <is>
          <t>Tone by audience + banned phrasing + analogy cap</t>
        </is>
      </c>
      <c r="D21" s="7" t="inlineStr">
        <is>
          <t>All — render layer applies</t>
        </is>
      </c>
      <c r="E21" s="7" t="inlineStr">
        <is>
          <t>Voice audit</t>
        </is>
      </c>
    </row>
    <row r="22">
      <c r="A22" s="7" t="inlineStr">
        <is>
          <t>Structured Cabling scope</t>
        </is>
      </c>
      <c r="B22" s="7" t="inlineStr">
        <is>
          <t>scope-library/commercial-01-structured-cabling.md</t>
        </is>
      </c>
      <c r="C22" s="7" t="inlineStr">
        <is>
          <t>Inclusions + deliverables + exclusions + standards + density table</t>
        </is>
      </c>
      <c r="D22" s="7" t="inlineStr">
        <is>
          <t>GC §03, Owner §04 — when selected</t>
        </is>
      </c>
      <c r="E22" s="7" t="inlineStr">
        <is>
          <t>Standard revision</t>
        </is>
      </c>
    </row>
    <row r="23">
      <c r="A23" s="7" t="inlineStr">
        <is>
          <t>Electronic Security scope</t>
        </is>
      </c>
      <c r="B23" s="7" t="inlineStr">
        <is>
          <t>scope-library/commercial-02-electronic-security.md</t>
        </is>
      </c>
      <c r="C23" s="7" t="inlineStr">
        <is>
          <t>Camera/ACS/intrusion/intercom inclusions + preferred mfrs</t>
        </is>
      </c>
      <c r="D23" s="7" t="inlineStr">
        <is>
          <t>GC §03, Owner §04 — when selected</t>
        </is>
      </c>
      <c r="E23" s="7" t="inlineStr">
        <is>
          <t>Vendor/standard change</t>
        </is>
      </c>
    </row>
    <row r="24">
      <c r="A24" s="7" t="inlineStr">
        <is>
          <t>AV &amp; Paging scope</t>
        </is>
      </c>
      <c r="B24" s="7" t="inlineStr">
        <is>
          <t>scope-library/commercial-03-av-and-paging.md</t>
        </is>
      </c>
      <c r="C24" s="7" t="inlineStr">
        <is>
          <t>Displays, speakers, amps, mics, paging inclusions</t>
        </is>
      </c>
      <c r="D24" s="7" t="inlineStr">
        <is>
          <t>GC §03, Owner §04 — when selected</t>
        </is>
      </c>
      <c r="E24" s="7" t="inlineStr">
        <is>
          <t>Standard revision</t>
        </is>
      </c>
    </row>
    <row r="25">
      <c r="A25" s="7" t="inlineStr">
        <is>
          <t>Telecom Room Buildout scope</t>
        </is>
      </c>
      <c r="B25" s="7" t="inlineStr">
        <is>
          <t>scope-library/commercial-04-telecom-room.md</t>
        </is>
      </c>
      <c r="C25" s="7" t="inlineStr">
        <is>
          <t>42U rack, backboard, TMGB/TGB, ladder rack, patch panels</t>
        </is>
      </c>
      <c r="D25" s="7" t="inlineStr">
        <is>
          <t>GC §03, Owner §04 — when selected</t>
        </is>
      </c>
      <c r="E25" s="7" t="inlineStr">
        <is>
          <t>Standard revision</t>
        </is>
      </c>
    </row>
    <row r="26">
      <c r="A26" s="7" t="inlineStr">
        <is>
          <t>Pathway &amp; Support scope</t>
        </is>
      </c>
      <c r="B26" s="7" t="inlineStr">
        <is>
          <t>scope-library/commercial-05-pathway-and-support.md</t>
        </is>
      </c>
      <c r="C26" s="7" t="inlineStr">
        <is>
          <t>J-hook, tray, conduit, firestop</t>
        </is>
      </c>
      <c r="D26" s="7" t="inlineStr">
        <is>
          <t>GC §03 — when selected</t>
        </is>
      </c>
      <c r="E26" s="7" t="inlineStr">
        <is>
          <t>Standard revision</t>
        </is>
      </c>
    </row>
    <row r="27">
      <c r="A27" s="7" t="inlineStr">
        <is>
          <t>Certification &amp; Documentation scope</t>
        </is>
      </c>
      <c r="B27" s="7" t="inlineStr">
        <is>
          <t>scope-library/commercial-06-certification-and-documentation.md</t>
        </is>
      </c>
      <c r="C27" s="7" t="inlineStr">
        <is>
          <t>Fluke cert, OTDR, LinkWare PDF, as-builts, TIA-606-C schedule</t>
        </is>
      </c>
      <c r="D27" s="7" t="inlineStr">
        <is>
          <t>GC §03, closeout section</t>
        </is>
      </c>
      <c r="E27" s="7" t="inlineStr">
        <is>
          <t>Standard revision</t>
        </is>
      </c>
    </row>
    <row r="28">
      <c r="A28" s="7" t="inlineStr">
        <is>
          <t>Project Management scope</t>
        </is>
      </c>
      <c r="B28" s="7" t="inlineStr">
        <is>
          <t>scope-library/commercial-07-project-management.md</t>
        </is>
      </c>
      <c r="C28" s="7" t="inlineStr">
        <is>
          <t>PM + RCDD, OAC, crew, OSHA, site conduct</t>
        </is>
      </c>
      <c r="D28" s="7" t="inlineStr">
        <is>
          <t>GC §07, Owner §05 (translated)</t>
        </is>
      </c>
      <c r="E28" s="7" t="inlineStr">
        <is>
          <t>Policy change</t>
        </is>
      </c>
    </row>
    <row r="29">
      <c r="A29" s="7" t="inlineStr">
        <is>
          <t>Residential Home Network scope</t>
        </is>
      </c>
      <c r="B29" s="7" t="inlineStr">
        <is>
          <t>scope-library/residential-01-home-network.md</t>
        </is>
      </c>
      <c r="C29" s="7" t="inlineStr">
        <is>
          <t>Whole-home Cat6A + APs + panel</t>
        </is>
      </c>
      <c r="D29" s="7" t="inlineStr">
        <is>
          <t>Residential §04 — when selected</t>
        </is>
      </c>
      <c r="E29" s="7" t="inlineStr">
        <is>
          <t>Standard revision</t>
        </is>
      </c>
    </row>
    <row r="30">
      <c r="A30" s="7" t="inlineStr">
        <is>
          <t>Residential Home Security scope</t>
        </is>
      </c>
      <c r="B30" s="7" t="inlineStr">
        <is>
          <t>scope-library/residential-02-home-security.md</t>
        </is>
      </c>
      <c r="C30" s="7" t="inlineStr">
        <is>
          <t>IP cameras + NVR for residential</t>
        </is>
      </c>
      <c r="D30" s="7" t="inlineStr">
        <is>
          <t>Residential §04 — when selected</t>
        </is>
      </c>
      <c r="E30" s="7" t="inlineStr">
        <is>
          <t>Standard revision</t>
        </is>
      </c>
    </row>
    <row r="31">
      <c r="A31" s="7" t="inlineStr">
        <is>
          <t>Residential Home AV scope</t>
        </is>
      </c>
      <c r="B31" s="7" t="inlineStr">
        <is>
          <t>scope-library/residential-03-home-av.md</t>
        </is>
      </c>
      <c r="C31" s="7" t="inlineStr">
        <is>
          <t>TV mount, multi-zone audio, whole-house audio</t>
        </is>
      </c>
      <c r="D31" s="7" t="inlineStr">
        <is>
          <t>Residential §04 — when selected</t>
        </is>
      </c>
      <c r="E31" s="7" t="inlineStr">
        <is>
          <t>Standard revision</t>
        </is>
      </c>
    </row>
    <row r="32">
      <c r="A32" s="7" t="inlineStr">
        <is>
          <t>Residential Home Service Plan scope</t>
        </is>
      </c>
      <c r="B32" s="7" t="inlineStr">
        <is>
          <t>scope-library/residential-04-home-service.md</t>
        </is>
      </c>
      <c r="C32" s="7" t="inlineStr">
        <is>
          <t>Managed services / remote monitoring / advance-replace</t>
        </is>
      </c>
      <c r="D32" s="7" t="inlineStr">
        <is>
          <t>Residential §06 — when selected</t>
        </is>
      </c>
      <c r="E32" s="7" t="inlineStr">
        <is>
          <t>Pricing change</t>
        </is>
      </c>
    </row>
    <row r="33">
      <c r="A33" s="7" t="inlineStr">
        <is>
          <t>Rate Card — Labor Rates</t>
        </is>
      </c>
      <c r="B33" s="7" t="inlineStr">
        <is>
          <t>pricing/rate-card.md</t>
        </is>
      </c>
      <c r="C33" s="7" t="inlineStr">
        <is>
          <t>PM, RCDD, BICSI foreman, tech, helper rates ($TBD pending Nathan)</t>
        </is>
      </c>
      <c r="D33" s="7" t="inlineStr">
        <is>
          <t>Internal only; feeds bundle pricing</t>
        </is>
      </c>
      <c r="E33" s="7" t="inlineStr">
        <is>
          <t>Annual repricing or when PW requires</t>
        </is>
      </c>
    </row>
    <row r="34">
      <c r="A34" s="7" t="inlineStr">
        <is>
          <t>Rate Card — Material Markup %</t>
        </is>
      </c>
      <c r="B34" s="7" t="inlineStr">
        <is>
          <t>pricing/rate-card.md</t>
        </is>
      </c>
      <c r="C34" s="7" t="inlineStr">
        <is>
          <t>Cable 25–35%, connectors 30–40%, active 20–30%, specialty 35–50%</t>
        </is>
      </c>
      <c r="D34" s="7" t="inlineStr">
        <is>
          <t>Internal only; feeds bundle pricing</t>
        </is>
      </c>
      <c r="E34" s="7" t="inlineStr">
        <is>
          <t>Annual repricing</t>
        </is>
      </c>
    </row>
    <row r="35">
      <c r="A35" s="7" t="inlineStr">
        <is>
          <t>Rate Card — Unit Prices</t>
        </is>
      </c>
      <c r="B35" s="7" t="inlineStr">
        <is>
          <t>pricing/rate-card.md</t>
        </is>
      </c>
      <c r="C35" s="7" t="inlineStr">
        <is>
          <t>Turnkey per-drop, per-camera, per-door prices (density-based)</t>
        </is>
      </c>
      <c r="D35" s="7" t="inlineStr">
        <is>
          <t>Internal only; feeds bundle pricing</t>
        </is>
      </c>
      <c r="E35" s="7" t="inlineStr">
        <is>
          <t>Annual repricing</t>
        </is>
      </c>
    </row>
    <row r="36">
      <c r="A36" s="7" t="inlineStr">
        <is>
          <t>Rate Card — Discount Rules</t>
        </is>
      </c>
      <c r="B36" s="7" t="inlineStr">
        <is>
          <t>pricing/rate-card.md</t>
        </is>
      </c>
      <c r="C36" s="7" t="inlineStr">
        <is>
          <t>Loyalty 5%+5% stacked; D1 weekend deduct; no volume on single-project</t>
        </is>
      </c>
      <c r="D36" s="7" t="inlineStr">
        <is>
          <t>Generator applies to investment summary</t>
        </is>
      </c>
      <c r="E36" s="7" t="inlineStr">
        <is>
          <t>Policy change</t>
        </is>
      </c>
    </row>
    <row r="37">
      <c r="A37" s="7" t="inlineStr">
        <is>
          <t>Rate Card — Payment Terms (Commercial)</t>
        </is>
      </c>
      <c r="B37" s="7" t="inlineStr">
        <is>
          <t>pricing/rate-card.md</t>
        </is>
      </c>
      <c r="C37" s="7" t="inlineStr">
        <is>
          <t>Progress monthly, 5% retention, Net 30, 1.5%/mo late</t>
        </is>
      </c>
      <c r="D37" s="7" t="inlineStr">
        <is>
          <t>GC/Owner §09 / §07</t>
        </is>
      </c>
      <c r="E37" s="7" t="inlineStr">
        <is>
          <t>Policy change</t>
        </is>
      </c>
    </row>
    <row r="38">
      <c r="A38" s="7" t="inlineStr">
        <is>
          <t>Rate Card — Payment Terms (Residential)</t>
        </is>
      </c>
      <c r="B38" s="7" t="inlineStr">
        <is>
          <t>pricing/rate-card.md</t>
        </is>
      </c>
      <c r="C38" s="7" t="inlineStr">
        <is>
          <t>30/40/30 schedule + 3% Stripe surcharge</t>
        </is>
      </c>
      <c r="D38" s="7" t="inlineStr">
        <is>
          <t>Residential §06</t>
        </is>
      </c>
      <c r="E38" s="7" t="inlineStr">
        <is>
          <t>Policy change</t>
        </is>
      </c>
    </row>
    <row r="39">
      <c r="A39" s="7" t="inlineStr">
        <is>
          <t>Estimating Methodology — Buildup</t>
        </is>
      </c>
      <c r="B39" s="7" t="inlineStr">
        <is>
          <t>pricing/estimating-methodology.md</t>
        </is>
      </c>
      <c r="C39" s="7" t="inlineStr">
        <is>
          <t>10-step buildup, conservative labor rule, rounding policy</t>
        </is>
      </c>
      <c r="D39" s="7" t="inlineStr">
        <is>
          <t>Internal only</t>
        </is>
      </c>
      <c r="E39" s="7" t="inlineStr">
        <is>
          <t>Methodology revision</t>
        </is>
      </c>
    </row>
    <row r="40">
      <c r="A40" s="7" t="inlineStr">
        <is>
          <t>Schedule Template T1 — K-12 Summer</t>
        </is>
      </c>
      <c r="B40" s="7" t="inlineStr">
        <is>
          <t>schedule/milestone-templates.md</t>
        </is>
      </c>
      <c r="C40" s="7" t="inlineStr">
        <is>
          <t>8-week summer milestones</t>
        </is>
      </c>
      <c r="D40" s="7" t="inlineStr">
        <is>
          <t>GC §08, Owner §05.1 when project_type=K-12-summer</t>
        </is>
      </c>
      <c r="E40" s="7" t="inlineStr">
        <is>
          <t>Policy change</t>
        </is>
      </c>
    </row>
    <row r="41">
      <c r="A41" s="7" t="inlineStr">
        <is>
          <t>Schedule Template T2 — New Commercial</t>
        </is>
      </c>
      <c r="B41" s="7" t="inlineStr">
        <is>
          <t>schedule/milestone-templates.md</t>
        </is>
      </c>
      <c r="C41" s="7" t="inlineStr">
        <is>
          <t>Aligned-with-trades milestones</t>
        </is>
      </c>
      <c r="D41" s="7" t="inlineStr">
        <is>
          <t>GC §08 when project_type=new-construction</t>
        </is>
      </c>
      <c r="E41" s="7" t="inlineStr">
        <is>
          <t>Policy change</t>
        </is>
      </c>
    </row>
    <row r="42">
      <c r="A42" s="7" t="inlineStr">
        <is>
          <t>Schedule Template T3 — Commercial Renovation</t>
        </is>
      </c>
      <c r="B42" s="7" t="inlineStr">
        <is>
          <t>schedule/milestone-templates.md</t>
        </is>
      </c>
      <c r="C42" s="7" t="inlineStr">
        <is>
          <t>6-week phased with ICRA option</t>
        </is>
      </c>
      <c r="D42" s="7" t="inlineStr">
        <is>
          <t>GC §08 when project_type=commercial-renovation or healthcare-occupied</t>
        </is>
      </c>
      <c r="E42" s="7" t="inlineStr">
        <is>
          <t>Policy change</t>
        </is>
      </c>
    </row>
    <row r="43">
      <c r="A43" s="7" t="inlineStr">
        <is>
          <t>Schedule Template T4 — Residential</t>
        </is>
      </c>
      <c r="B43" s="7" t="inlineStr">
        <is>
          <t>schedule/milestone-templates.md</t>
        </is>
      </c>
      <c r="C43" s="7" t="inlineStr">
        <is>
          <t>Day-based 3–5 day milestones</t>
        </is>
      </c>
      <c r="D43" s="7" t="inlineStr">
        <is>
          <t>Residential §05</t>
        </is>
      </c>
      <c r="E43" s="7" t="inlineStr">
        <is>
          <t>Policy change</t>
        </is>
      </c>
    </row>
    <row r="44">
      <c r="A44" s="7" t="inlineStr">
        <is>
          <t>T&amp;C — Acceptance &amp; Validity (§1)</t>
        </is>
      </c>
      <c r="B44" s="7" t="inlineStr">
        <is>
          <t>terms/standard-terms-and-conditions.md</t>
        </is>
      </c>
      <c r="C44" s="7" t="inlineStr">
        <is>
          <t>60-day validity, NTP language</t>
        </is>
      </c>
      <c r="D44" s="7" t="inlineStr">
        <is>
          <t>GC/Owner §10; Res §09 (shortened)</t>
        </is>
      </c>
      <c r="E44" s="7" t="inlineStr">
        <is>
          <t>Legal review</t>
        </is>
      </c>
    </row>
    <row r="45">
      <c r="A45" s="7" t="inlineStr">
        <is>
          <t>T&amp;C — Scope Interpretation (§2)</t>
        </is>
      </c>
      <c r="B45" s="7" t="inlineStr">
        <is>
          <t>terms/…</t>
        </is>
      </c>
      <c r="C45" s="7" t="inlineStr">
        <is>
          <t>Scope limited to §03; exclusions in §9 controlling</t>
        </is>
      </c>
      <c r="D45" s="7" t="inlineStr">
        <is>
          <t>GC/Owner §10</t>
        </is>
      </c>
      <c r="E45" s="7" t="inlineStr">
        <is>
          <t>Legal review</t>
        </is>
      </c>
    </row>
    <row r="46">
      <c r="A46" s="7" t="inlineStr">
        <is>
          <t>T&amp;C — Change Orders (§3)</t>
        </is>
      </c>
      <c r="B46" s="7" t="inlineStr">
        <is>
          <t>terms/…</t>
        </is>
      </c>
      <c r="C46" s="7" t="inlineStr">
        <is>
          <t>Written CO at 10% coordination markup</t>
        </is>
      </c>
      <c r="D46" s="7" t="inlineStr">
        <is>
          <t>GC/Owner/Res</t>
        </is>
      </c>
      <c r="E46" s="7" t="inlineStr">
        <is>
          <t>Legal review</t>
        </is>
      </c>
    </row>
    <row r="47">
      <c r="A47" s="7" t="inlineStr">
        <is>
          <t>T&amp;C — Schedule (§4)</t>
        </is>
      </c>
      <c r="B47" s="7" t="inlineStr">
        <is>
          <t>terms/…</t>
        </is>
      </c>
      <c r="C47" s="7" t="inlineStr">
        <is>
          <t>Contingent on access, materials, preceding trades; consequential damages waiver</t>
        </is>
      </c>
      <c r="D47" s="7" t="inlineStr">
        <is>
          <t>GC/Owner</t>
        </is>
      </c>
      <c r="E47" s="7" t="inlineStr">
        <is>
          <t>Legal review</t>
        </is>
      </c>
    </row>
    <row r="48">
      <c r="A48" s="7" t="inlineStr">
        <is>
          <t>T&amp;C — Price &amp; Payment (§5)</t>
        </is>
      </c>
      <c r="B48" s="7" t="inlineStr">
        <is>
          <t>terms/…</t>
        </is>
      </c>
      <c r="C48" s="7" t="inlineStr">
        <is>
          <t>Progress billing, 5% retention, Net 30, 1.5%/mo late; residential 30/40/30</t>
        </is>
      </c>
      <c r="D48" s="7" t="inlineStr">
        <is>
          <t>All</t>
        </is>
      </c>
      <c r="E48" s="7" t="inlineStr">
        <is>
          <t>Policy change</t>
        </is>
      </c>
    </row>
    <row r="49">
      <c r="A49" s="7" t="inlineStr">
        <is>
          <t>T&amp;C — Lien Rights (§6)</t>
        </is>
      </c>
      <c r="B49" s="7" t="inlineStr">
        <is>
          <t>terms/…</t>
        </is>
      </c>
      <c r="C49" s="7" t="inlineStr">
        <is>
          <t>RSMo 429; partial/final waivers on payment</t>
        </is>
      </c>
      <c r="D49" s="7" t="inlineStr">
        <is>
          <t>GC/Owner</t>
        </is>
      </c>
      <c r="E49" s="7" t="inlineStr">
        <is>
          <t>Legal review</t>
        </is>
      </c>
    </row>
    <row r="50">
      <c r="A50" s="7" t="inlineStr">
        <is>
          <t>T&amp;C — Warranty (§7)</t>
        </is>
      </c>
      <c r="B50" s="7" t="inlineStr">
        <is>
          <t>terms/…</t>
        </is>
      </c>
      <c r="C50" s="7" t="inlineStr">
        <is>
          <t>Lifetime workmanship transfers; 5-year GCC hardware; mfr pass-through</t>
        </is>
      </c>
      <c r="D50" s="7" t="inlineStr">
        <is>
          <t>All</t>
        </is>
      </c>
      <c r="E50" s="7" t="inlineStr">
        <is>
          <t>Policy change</t>
        </is>
      </c>
    </row>
    <row r="51">
      <c r="A51" s="7" t="inlineStr">
        <is>
          <t>T&amp;C — Insurance &amp; Indemnity (§8)</t>
        </is>
      </c>
      <c r="B51" s="7" t="inlineStr">
        <is>
          <t>terms/…</t>
        </is>
      </c>
      <c r="C51" s="7" t="inlineStr">
        <is>
          <t>Coverage per Insurance section; mutual indemnification</t>
        </is>
      </c>
      <c r="D51" s="7" t="inlineStr">
        <is>
          <t>All</t>
        </is>
      </c>
      <c r="E51" s="7" t="inlineStr">
        <is>
          <t>Renewal/policy change</t>
        </is>
      </c>
    </row>
    <row r="52">
      <c r="A52" s="7" t="inlineStr">
        <is>
          <t>T&amp;C — Exclusions (§9)</t>
        </is>
      </c>
      <c r="B52" s="7" t="inlineStr">
        <is>
          <t>terms/…</t>
        </is>
      </c>
      <c r="C52" s="7" t="inlineStr">
        <is>
          <t>Standard trade-boundary exclusions (fire alarm, BMS, EV, etc.)</t>
        </is>
      </c>
      <c r="D52" s="7" t="inlineStr">
        <is>
          <t>All</t>
        </is>
      </c>
      <c r="E52" s="7" t="inlineStr">
        <is>
          <t>Never — hard-rule</t>
        </is>
      </c>
    </row>
    <row r="53">
      <c r="A53" s="7" t="inlineStr">
        <is>
          <t>T&amp;C — Termination (§10)</t>
        </is>
      </c>
      <c r="B53" s="7" t="inlineStr">
        <is>
          <t>terms/…</t>
        </is>
      </c>
      <c r="C53" s="7" t="inlineStr">
        <is>
          <t>30-day cure; GC variant adds 10% convenience fee on unearned balance</t>
        </is>
      </c>
      <c r="D53" s="7" t="inlineStr">
        <is>
          <t>GC/Owner/Res</t>
        </is>
      </c>
      <c r="E53" s="7" t="inlineStr">
        <is>
          <t>Legal review</t>
        </is>
      </c>
    </row>
    <row r="54">
      <c r="A54" s="7" t="inlineStr">
        <is>
          <t>T&amp;C — Dispute Resolution (§11)</t>
        </is>
      </c>
      <c r="B54" s="7" t="inlineStr">
        <is>
          <t>terms/…</t>
        </is>
      </c>
      <c r="C54" s="7" t="inlineStr">
        <is>
          <t>Good-faith → mediation O'Fallon MO → litigation; venue St. Charles Co</t>
        </is>
      </c>
      <c r="D54" s="7" t="inlineStr">
        <is>
          <t>All</t>
        </is>
      </c>
      <c r="E54" s="7" t="inlineStr">
        <is>
          <t>Legal review</t>
        </is>
      </c>
    </row>
    <row r="55">
      <c r="A55" s="7" t="inlineStr">
        <is>
          <t>T&amp;C — Safety (§12)</t>
        </is>
      </c>
      <c r="B55" s="7" t="inlineStr">
        <is>
          <t>terms/…</t>
        </is>
      </c>
      <c r="C55" s="7" t="inlineStr">
        <is>
          <t>OSHA 10/30, 2-person crew, site-safety compliance</t>
        </is>
      </c>
      <c r="D55" s="7" t="inlineStr">
        <is>
          <t>All</t>
        </is>
      </c>
      <c r="E55" s="7" t="inlineStr">
        <is>
          <t>OSHA/policy change</t>
        </is>
      </c>
    </row>
    <row r="56">
      <c r="A56" s="7" t="inlineStr">
        <is>
          <t>T&amp;C — Miscellaneous (§13)</t>
        </is>
      </c>
      <c r="B56" s="7" t="inlineStr">
        <is>
          <t>terms/…</t>
        </is>
      </c>
      <c r="C56" s="7" t="inlineStr">
        <is>
          <t>Entire agreement, modifications in writing, severability</t>
        </is>
      </c>
      <c r="D56" s="7" t="inlineStr">
        <is>
          <t>All</t>
        </is>
      </c>
      <c r="E56" s="7" t="inlineStr">
        <is>
          <t>Legal review</t>
        </is>
      </c>
    </row>
    <row r="57">
      <c r="A57" s="7" t="inlineStr">
        <is>
          <t>T&amp;C — Residential Shortened</t>
        </is>
      </c>
      <c r="B57" s="7" t="inlineStr">
        <is>
          <t>terms/…</t>
        </is>
      </c>
      <c r="C57" s="7" t="inlineStr">
        <is>
          <t>Single-page version of above</t>
        </is>
      </c>
      <c r="D57" s="7" t="inlineStr">
        <is>
          <t>Res §09</t>
        </is>
      </c>
      <c r="E57" s="7" t="inlineStr">
        <is>
          <t>Legal review</t>
        </is>
      </c>
    </row>
    <row r="58">
      <c r="A58" s="7" t="inlineStr">
        <is>
          <t>Acceptance Block Layout</t>
        </is>
      </c>
      <c r="B58" s="7" t="inlineStr">
        <is>
          <t>templates/* §11</t>
        </is>
      </c>
      <c r="C58" s="7" t="inlineStr">
        <is>
          <t>Signature / Name / Title / Date blank lines</t>
        </is>
      </c>
      <c r="D58" s="7" t="inlineStr">
        <is>
          <t>All</t>
        </is>
      </c>
      <c r="E58" s="7" t="inlineStr">
        <is>
          <t>Signing flow change (DocuSign adoption)</t>
        </is>
      </c>
    </row>
  </sheetData>
  <autoFilter ref="A1:E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2026-04-21T07:13:10Z</dcterms:created>
  <dcterms:modified xmlns:dcterms="http://purl.org/dc/terms/" xmlns:xsi="http://www.w3.org/2001/XMLSchema-instance" xsi:type="dcterms:W3CDTF">2026-04-21T07:13:10Z</dcterms:modified>
</cp:coreProperties>
</file>